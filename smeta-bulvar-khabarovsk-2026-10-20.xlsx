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Сверка цен" sheetId="1" state="visible" r:id="rId1"/>
    <sheet xmlns:r="http://schemas.openxmlformats.org/officeDocument/2006/relationships" name="Сценарий бульвара" sheetId="2" state="visible" r:id="rId2"/>
    <sheet xmlns:r="http://schemas.openxmlformats.org/officeDocument/2006/relationships" name="Риски и допущения" sheetId="3" state="visible" r:id="rId3"/>
  </sheets>
  <definedNames>
    <definedName name="_xlnm._FilterDatabase" localSheetId="0" hidden="1">'Сверка цен'!$A$1:$P$76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# ##0.##"/>
    <numFmt numFmtId="165" formatCode="+0%;-0%"/>
    <numFmt numFmtId="166" formatCode="# ##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</font>
    <font>
      <b val="1"/>
      <sz val="12"/>
    </font>
  </fonts>
  <fills count="7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1F2"/>
      </patternFill>
    </fill>
    <fill>
      <patternFill patternType="solid">
        <fgColor rgb="00F8CBAD"/>
      </patternFill>
    </fill>
    <fill>
      <patternFill patternType="solid">
        <fgColor rgb="00C6EFCE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2" fillId="3" borderId="0" pivotButton="0" quotePrefix="0" xfId="0"/>
    <xf numFmtId="0" fontId="0" fillId="0" borderId="1" applyAlignment="1" pivotButton="0" quotePrefix="0" xfId="0">
      <alignment vertical="top" wrapText="1"/>
    </xf>
    <xf numFmtId="164" fontId="0" fillId="0" borderId="1" applyAlignment="1" pivotButton="0" quotePrefix="0" xfId="0">
      <alignment vertical="top" wrapText="1"/>
    </xf>
    <xf numFmtId="165" fontId="0" fillId="4" borderId="1" applyAlignment="1" pivotButton="0" quotePrefix="0" xfId="0">
      <alignment vertical="top" wrapText="1"/>
    </xf>
    <xf numFmtId="165" fontId="0" fillId="5" borderId="1" applyAlignment="1" pivotButton="0" quotePrefix="0" xfId="0">
      <alignment vertical="top" wrapText="1"/>
    </xf>
    <xf numFmtId="165" fontId="0" fillId="6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3" borderId="0" pivotButton="0" quotePrefix="0" xfId="0"/>
    <xf numFmtId="166" fontId="0" fillId="0" borderId="1" applyAlignment="1" pivotButton="0" quotePrefix="0" xfId="0">
      <alignment vertical="top" wrapText="1"/>
    </xf>
    <xf numFmtId="0" fontId="2" fillId="0" borderId="0" pivotButton="0" quotePrefix="0" xfId="0"/>
    <xf numFmtId="166" fontId="2" fillId="0" borderId="0" pivotButton="0" quotePrefix="0" xfId="0"/>
    <xf numFmtId="0" fontId="3" fillId="0" borderId="0" pivotButton="0" quotePrefix="0" xfId="0"/>
    <xf numFmtId="166" fontId="3" fillId="0" borderId="0" pivotButton="0" quotePrefix="0" xfId="0"/>
    <xf numFmtId="166" fontId="0" fillId="0" borderId="0" pivotButton="0" quotePrefix="0" xfId="0"/>
    <xf numFmtId="166" fontId="3" fillId="5" borderId="0" pivotButton="0" quotePrefix="0" xfId="0"/>
    <xf numFmtId="0" fontId="0" fillId="0" borderId="0" applyAlignment="1" pivotButton="0" quotePrefix="0" xfId="0">
      <alignment wrapText="1"/>
    </xf>
    <xf numFmtId="0" fontId="2" fillId="3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76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42" customWidth="1" min="2" max="2"/>
    <col width="9" customWidth="1" min="3" max="3"/>
    <col width="18" customWidth="1" min="4" max="4"/>
    <col width="12" customWidth="1" min="5" max="5"/>
    <col width="12" customWidth="1" min="6" max="6"/>
    <col width="13" customWidth="1" min="7" max="7"/>
    <col width="14" customWidth="1" min="8" max="8"/>
    <col width="13" customWidth="1" min="9" max="9"/>
    <col width="13" customWidth="1" min="10" max="10"/>
    <col width="22" customWidth="1" min="11" max="11"/>
    <col width="26" customWidth="1" min="12" max="12"/>
    <col width="60" customWidth="1" min="13" max="13"/>
    <col width="11" customWidth="1" min="14" max="14"/>
    <col width="11" customWidth="1" min="15" max="15"/>
    <col width="40" customWidth="1" min="16" max="16"/>
  </cols>
  <sheetData>
    <row r="1" ht="45" customHeight="1">
      <c r="A1" s="1" t="inlineStr">
        <is>
          <t>№</t>
        </is>
      </c>
      <c r="B1" s="1" t="inlineStr">
        <is>
          <t>Позиция</t>
        </is>
      </c>
      <c r="C1" s="1" t="inlineStr">
        <is>
          <t>Ед.</t>
        </is>
      </c>
      <c r="D1" s="1" t="inlineStr">
        <is>
          <t>Смета: диапазон (Хаб.)</t>
        </is>
      </c>
      <c r="E1" s="1" t="inlineStr">
        <is>
          <t>Рынок мин</t>
        </is>
      </c>
      <c r="F1" s="1" t="inlineStr">
        <is>
          <t>Рынок макс</t>
        </is>
      </c>
      <c r="G1" s="1" t="inlineStr">
        <is>
          <t>Рынок средняя</t>
        </is>
      </c>
      <c r="H1" s="1" t="inlineStr">
        <is>
          <t>Отклонение средней от середины сметы</t>
        </is>
      </c>
      <c r="I1" s="1" t="inlineStr">
        <is>
          <t>Аренда/мес, средняя</t>
        </is>
      </c>
      <c r="J1" s="1" t="inlineStr">
        <is>
          <t>Смета: аренда/мес</t>
        </is>
      </c>
      <c r="K1" s="1" t="inlineStr">
        <is>
          <t>НДС</t>
        </is>
      </c>
      <c r="L1" s="1" t="inlineStr">
        <is>
          <t>Доставка / монтаж / подача</t>
        </is>
      </c>
      <c r="M1" s="1" t="inlineStr">
        <is>
          <t>Источники</t>
        </is>
      </c>
      <c r="N1" s="1" t="inlineStr">
        <is>
          <t>Дата</t>
        </is>
      </c>
      <c r="O1" s="1" t="inlineStr">
        <is>
          <t>Допущение?</t>
        </is>
      </c>
      <c r="P1" s="1" t="inlineStr">
        <is>
          <t>Вывод</t>
        </is>
      </c>
    </row>
    <row r="2">
      <c r="A2" s="2" t="inlineStr">
        <is>
          <t>ТРАНСПОРТ И СПЕЦТЕХНИКА (аренда с оператором, смена 8 ч)</t>
        </is>
      </c>
    </row>
    <row r="3">
      <c r="A3" s="3" t="inlineStr">
        <is>
          <t>1</t>
        </is>
      </c>
      <c r="B3" s="3" t="inlineStr">
        <is>
          <t>Бульдозер Т-130/Shantui SD16/D65</t>
        </is>
      </c>
      <c r="C3" s="3" t="inlineStr">
        <is>
          <t>смена</t>
        </is>
      </c>
      <c r="D3" s="3" t="inlineStr">
        <is>
          <t>12 000 - 18 000 ₽</t>
        </is>
      </c>
      <c r="E3" s="4" t="n">
        <v>15200</v>
      </c>
      <c r="F3" s="4" t="n">
        <v>28000</v>
      </c>
      <c r="G3" s="4" t="n">
        <v>24000</v>
      </c>
      <c r="H3" s="5" t="n">
        <v>0.6000000000000001</v>
      </c>
      <c r="I3" s="4" t="n">
        <v>420000</v>
      </c>
      <c r="J3" s="3" t="inlineStr">
        <is>
          <t>от 300 000 ₽</t>
        </is>
      </c>
      <c r="K3" s="3" t="inlineStr">
        <is>
          <t>частники без НДС; buldozer-khabarovsk, Arena27 — с НДС</t>
        </is>
      </c>
      <c r="L3" s="3" t="inlineStr">
        <is>
          <t>трал отдельно 15–25 тыс./рейс</t>
        </is>
      </c>
      <c r="M3" s="3" t="inlineStr">
        <is>
          <t>perevozka24.com/habarovsk-27 (SD16 1900 ₽/ч, Т-170 3500 ₽/ч); stroitaxi.ru (от 2500 ₽/ч); exkavator.ru (D6R 2200 ₽/ч); farpost (от 2500 ₽/ч)</t>
        </is>
      </c>
      <c r="N3" s="3" t="inlineStr">
        <is>
          <t>20.10.2026</t>
        </is>
      </c>
      <c r="O3" s="3" t="inlineStr"/>
      <c r="P3" s="3" t="inlineStr">
        <is>
          <t>Занижено: смена на 30–35%, месяц на 25–35%</t>
        </is>
      </c>
    </row>
    <row r="4">
      <c r="A4" s="3" t="inlineStr">
        <is>
          <t>2</t>
        </is>
      </c>
      <c r="B4" s="3" t="inlineStr">
        <is>
          <t>Экскаватор гусеничный 0,5 м³</t>
        </is>
      </c>
      <c r="C4" s="3" t="inlineStr">
        <is>
          <t>смена</t>
        </is>
      </c>
      <c r="D4" s="3" t="inlineStr">
        <is>
          <t>16 000 - 22 000 ₽</t>
        </is>
      </c>
      <c r="E4" s="4" t="n">
        <v>13600</v>
      </c>
      <c r="F4" s="4" t="n">
        <v>20000</v>
      </c>
      <c r="G4" s="4" t="n">
        <v>16000</v>
      </c>
      <c r="H4" s="6" t="n">
        <v>-0.1578947368421053</v>
      </c>
      <c r="I4" s="4" t="n">
        <v>310000</v>
      </c>
      <c r="J4" s="3" t="inlineStr">
        <is>
          <t>от 350 000 ₽</t>
        </is>
      </c>
      <c r="K4" s="3" t="inlineStr">
        <is>
          <t>в осн. без НДС</t>
        </is>
      </c>
      <c r="L4" s="3" t="inlineStr">
        <is>
          <t>трал обязателен 10–17 тыс.</t>
        </is>
      </c>
      <c r="M4" s="3" t="inlineStr">
        <is>
          <t>uslugi.yandex.ru (PC-128 1700 ₽/ч); perevozka24 (SK100W 16 000/смена, EX100 16 000/смена); ecorex (от 1900 ₽/ч)</t>
        </is>
      </c>
      <c r="N4" s="3" t="inlineStr">
        <is>
          <t>20.10.2026</t>
        </is>
      </c>
      <c r="O4" s="3" t="inlineStr"/>
      <c r="P4" s="3" t="inlineStr">
        <is>
          <t>Верх смены и месяц слегка завышены</t>
        </is>
      </c>
    </row>
    <row r="5">
      <c r="A5" s="3" t="inlineStr">
        <is>
          <t>3</t>
        </is>
      </c>
      <c r="B5" s="3" t="inlineStr">
        <is>
          <t>Экскаватор-погрузчик JCB 3CX</t>
        </is>
      </c>
      <c r="C5" s="3" t="inlineStr">
        <is>
          <t>смена</t>
        </is>
      </c>
      <c r="D5" s="3" t="inlineStr">
        <is>
          <t>18 000 - 23 000 ₽</t>
        </is>
      </c>
      <c r="E5" s="4" t="n">
        <v>20000</v>
      </c>
      <c r="F5" s="4" t="n">
        <v>28000</v>
      </c>
      <c r="G5" s="4" t="n">
        <v>23000</v>
      </c>
      <c r="H5" s="7" t="n">
        <v>0.1219512195121952</v>
      </c>
      <c r="I5" s="4" t="n">
        <v>440000</v>
      </c>
      <c r="J5" s="3" t="inlineStr">
        <is>
          <t>от 400 000 ₽</t>
        </is>
      </c>
      <c r="K5" s="3" t="inlineStr">
        <is>
          <t>частники без НДС; есть с НДС 3500 ₽/ч</t>
        </is>
      </c>
      <c r="L5" s="3" t="inlineStr">
        <is>
          <t>своим ходом</t>
        </is>
      </c>
      <c r="M5" s="3" t="inlineStr">
        <is>
          <t>arena27.ru (2500 ₽/ч, мин 4 ч); uslugi.yandex.ru (от 36–40 тыс./день); farpost (2800–3500 ₽/ч)</t>
        </is>
      </c>
      <c r="N5" s="3" t="inlineStr">
        <is>
          <t>20.10.2026</t>
        </is>
      </c>
      <c r="O5" s="3" t="inlineStr"/>
      <c r="P5" s="3" t="inlineStr">
        <is>
          <t>Смена в рынке, месяц занижен на 5–10%</t>
        </is>
      </c>
    </row>
    <row r="6">
      <c r="A6" s="3" t="inlineStr">
        <is>
          <t>4</t>
        </is>
      </c>
      <c r="B6" s="3" t="inlineStr">
        <is>
          <t>Мини-погрузчик Bobcat S630 (аналоги S300/643)</t>
        </is>
      </c>
      <c r="C6" s="3" t="inlineStr">
        <is>
          <t>смена</t>
        </is>
      </c>
      <c r="D6" s="3" t="inlineStr">
        <is>
          <t>12 000 - 16 000 ₽</t>
        </is>
      </c>
      <c r="E6" s="4" t="n">
        <v>8000</v>
      </c>
      <c r="F6" s="4" t="n">
        <v>16000</v>
      </c>
      <c r="G6" s="4" t="n">
        <v>12000</v>
      </c>
      <c r="H6" s="7" t="n">
        <v>-0.1428571428571429</v>
      </c>
      <c r="I6" s="4" t="n">
        <v>240000</v>
      </c>
      <c r="J6" s="3" t="inlineStr">
        <is>
          <t>от 280 000 ₽</t>
        </is>
      </c>
      <c r="K6" s="3" t="inlineStr">
        <is>
          <t>без НДС</t>
        </is>
      </c>
      <c r="L6" s="3" t="inlineStr">
        <is>
          <t>доставка ~4000 ₽</t>
        </is>
      </c>
      <c r="M6" s="3" t="inlineStr">
        <is>
          <t>uslugi.yandex.ru (S300 от 1000, 643 от 1500 ₽/ч); perevozka24 (1000 ₽/ч; 13 000/смена)</t>
        </is>
      </c>
      <c r="N6" s="3" t="inlineStr">
        <is>
          <t>20.10.2026</t>
        </is>
      </c>
      <c r="O6" s="8" t="inlineStr">
        <is>
          <t>ДА</t>
        </is>
      </c>
      <c r="P6" s="3" t="inlineStr">
        <is>
          <t>Завышено: верх смены ~15%, месяц 10–30%</t>
        </is>
      </c>
    </row>
    <row r="7">
      <c r="A7" s="3" t="inlineStr">
        <is>
          <t>5</t>
        </is>
      </c>
      <c r="B7" s="3" t="inlineStr">
        <is>
          <t>Самосвал КАМАЗ до 15 т</t>
        </is>
      </c>
      <c r="C7" s="3" t="inlineStr">
        <is>
          <t>смена</t>
        </is>
      </c>
      <c r="D7" s="3" t="inlineStr">
        <is>
          <t>9 000 - 14 000 ₽</t>
        </is>
      </c>
      <c r="E7" s="4" t="n">
        <v>12000</v>
      </c>
      <c r="F7" s="4" t="n">
        <v>22400</v>
      </c>
      <c r="G7" s="4" t="n">
        <v>17000</v>
      </c>
      <c r="H7" s="5" t="n">
        <v>0.4782608695652173</v>
      </c>
      <c r="I7" s="4" t="n">
        <v>300000</v>
      </c>
      <c r="J7" s="3" t="inlineStr">
        <is>
          <t>от 280 000 ₽</t>
        </is>
      </c>
      <c r="K7" s="3" t="inlineStr">
        <is>
          <t>без НДС; ДЭСК — юрлицо</t>
        </is>
      </c>
      <c r="L7" s="3" t="inlineStr">
        <is>
          <t>дорога ≥1 ч</t>
        </is>
      </c>
      <c r="M7" s="3" t="inlineStr">
        <is>
          <t>perevozka24 (1500–2000 ₽/ч); uslugi.yandex.ru (ДЭСК 2800 ₽/ч, мин 8 ч; Тонар от 1500)</t>
        </is>
      </c>
      <c r="N7" s="3" t="inlineStr">
        <is>
          <t>20.10.2026</t>
        </is>
      </c>
      <c r="O7" s="3" t="inlineStr"/>
      <c r="P7" s="3" t="inlineStr">
        <is>
          <t>Занижено: смена на 20–40%</t>
        </is>
      </c>
    </row>
    <row r="8">
      <c r="A8" s="3" t="inlineStr">
        <is>
          <t>6</t>
        </is>
      </c>
      <c r="B8" s="3" t="inlineStr">
        <is>
          <t>Манипулятор 5–7 т</t>
        </is>
      </c>
      <c r="C8" s="3" t="inlineStr">
        <is>
          <t>смена</t>
        </is>
      </c>
      <c r="D8" s="3" t="inlineStr">
        <is>
          <t>18 000 - 25 000 ₽</t>
        </is>
      </c>
      <c r="E8" s="4" t="n">
        <v>16000</v>
      </c>
      <c r="F8" s="4" t="n">
        <v>32000</v>
      </c>
      <c r="G8" s="4" t="n">
        <v>22000</v>
      </c>
      <c r="H8" s="7" t="n">
        <v>0.02325581395348841</v>
      </c>
      <c r="I8" s="4" t="n">
        <v>400000</v>
      </c>
      <c r="J8" s="3" t="inlineStr">
        <is>
          <t>от 380 000 ₽</t>
        </is>
      </c>
      <c r="K8" s="3" t="inlineStr">
        <is>
          <t>без НДС</t>
        </is>
      </c>
      <c r="L8" s="3" t="inlineStr">
        <is>
          <t>мин 2 ч</t>
        </is>
      </c>
      <c r="M8" s="3" t="inlineStr">
        <is>
          <t>perevozka24 (2000–3500 ₽/ч; 30–32 тыс./смена); uslugi.yandex.ru (1500–4500 ₽/ч)</t>
        </is>
      </c>
      <c r="N8" s="3" t="inlineStr">
        <is>
          <t>20.10.2026</t>
        </is>
      </c>
      <c r="O8" s="3" t="inlineStr"/>
      <c r="P8" s="3" t="inlineStr">
        <is>
          <t>В рынке</t>
        </is>
      </c>
    </row>
    <row r="9">
      <c r="A9" s="3" t="inlineStr">
        <is>
          <t>7</t>
        </is>
      </c>
      <c r="B9" s="3" t="inlineStr">
        <is>
          <t>Автовышка 18 м</t>
        </is>
      </c>
      <c r="C9" s="3" t="inlineStr">
        <is>
          <t>смена</t>
        </is>
      </c>
      <c r="D9" s="3" t="inlineStr">
        <is>
          <t>18 000 - 24 000 ₽</t>
        </is>
      </c>
      <c r="E9" s="4" t="n">
        <v>14000</v>
      </c>
      <c r="F9" s="4" t="n">
        <v>24000</v>
      </c>
      <c r="G9" s="4" t="n">
        <v>16500</v>
      </c>
      <c r="H9" s="6" t="n">
        <v>-0.2142857142857143</v>
      </c>
      <c r="I9" s="4" t="n">
        <v>320000</v>
      </c>
      <c r="J9" s="3" t="inlineStr">
        <is>
          <t>от 380 000 ₽</t>
        </is>
      </c>
      <c r="K9" s="3" t="inlineStr">
        <is>
          <t>без НДС</t>
        </is>
      </c>
      <c r="L9" s="3" t="inlineStr">
        <is>
          <t>мин 3–4 ч с дорогой</t>
        </is>
      </c>
      <c r="M9" s="3" t="inlineStr">
        <is>
          <t>stroitaxi.ru (18 м от 1800 ₽/ч); perevozka24 (14–21 тыс./смена); uslugi.yandex.ru (от 1700 ₽/ч)</t>
        </is>
      </c>
      <c r="N9" s="3" t="inlineStr">
        <is>
          <t>20.10.2026</t>
        </is>
      </c>
      <c r="O9" s="3" t="inlineStr"/>
      <c r="P9" s="3" t="inlineStr">
        <is>
          <t>Завышено: смена 10–25%, месяц 15–25%</t>
        </is>
      </c>
    </row>
    <row r="10">
      <c r="A10" s="3" t="inlineStr">
        <is>
          <t>8</t>
        </is>
      </c>
      <c r="B10" s="3" t="inlineStr">
        <is>
          <t>Тягач + полуприцеп/трал</t>
        </is>
      </c>
      <c r="C10" s="3" t="inlineStr">
        <is>
          <t>смена</t>
        </is>
      </c>
      <c r="D10" s="3" t="inlineStr">
        <is>
          <t>16 000 - 22 000 ₽</t>
        </is>
      </c>
      <c r="E10" s="4" t="n">
        <v>14500</v>
      </c>
      <c r="F10" s="4" t="n">
        <v>25000</v>
      </c>
      <c r="G10" s="4" t="n">
        <v>18000</v>
      </c>
      <c r="H10" s="7" t="n">
        <v>-0.05263157894736847</v>
      </c>
      <c r="I10" s="4" t="n">
        <v>340000</v>
      </c>
      <c r="J10" s="3" t="inlineStr">
        <is>
          <t>от 280 000 ₽</t>
        </is>
      </c>
      <c r="K10" s="3" t="inlineStr">
        <is>
          <t>без НДС</t>
        </is>
      </c>
      <c r="L10" s="3" t="inlineStr">
        <is>
          <t>межгород 50–200 ₽/км</t>
        </is>
      </c>
      <c r="M10" s="3" t="inlineStr">
        <is>
          <t>perevozka24 (14 500–25 000/смена); uslugi.yandex.ru (трал от 2400 ₽/ч); stroitaxi (от 10 000 за услугу)</t>
        </is>
      </c>
      <c r="N10" s="3" t="inlineStr">
        <is>
          <t>20.10.2026</t>
        </is>
      </c>
      <c r="O10" s="8" t="inlineStr">
        <is>
          <t>ДА</t>
        </is>
      </c>
      <c r="P10" s="3" t="inlineStr">
        <is>
          <t>Смена в рынке, месяц занижен 15–25%</t>
        </is>
      </c>
    </row>
    <row r="11">
      <c r="A11" s="3" t="inlineStr">
        <is>
          <t>9</t>
        </is>
      </c>
      <c r="B11" s="3" t="inlineStr">
        <is>
          <t>Бортовой автомобиль до 5 т</t>
        </is>
      </c>
      <c r="C11" s="3" t="inlineStr">
        <is>
          <t>смена</t>
        </is>
      </c>
      <c r="D11" s="3" t="inlineStr">
        <is>
          <t>7 000 - 10 000 ₽</t>
        </is>
      </c>
      <c r="E11" s="4" t="n">
        <v>10400</v>
      </c>
      <c r="F11" s="4" t="n">
        <v>13600</v>
      </c>
      <c r="G11" s="4" t="n">
        <v>11600</v>
      </c>
      <c r="H11" s="5" t="n">
        <v>0.3647058823529412</v>
      </c>
      <c r="I11" s="4" t="n">
        <v>220000</v>
      </c>
      <c r="J11" s="3" t="inlineStr">
        <is>
          <t>от 170 000 ₽</t>
        </is>
      </c>
      <c r="K11" s="3" t="inlineStr">
        <is>
          <t>без НДС</t>
        </is>
      </c>
      <c r="L11" s="3" t="inlineStr">
        <is>
          <t>мин 2 ч</t>
        </is>
      </c>
      <c r="M11" s="3" t="inlineStr">
        <is>
          <t>perevozka24 (Hino 5 т 1300 ₽/ч); gruz27.ru (1700 ₽/ч); uslugi.yandex.ru (1350–1500 ₽/ч)</t>
        </is>
      </c>
      <c r="N11" s="3" t="inlineStr">
        <is>
          <t>20.10.2026</t>
        </is>
      </c>
      <c r="O11" s="3" t="inlineStr"/>
      <c r="P11" s="3" t="inlineStr">
        <is>
          <t>Занижено: смена 15–30%, месяц 20–35%</t>
        </is>
      </c>
    </row>
    <row r="12">
      <c r="A12" s="3" t="inlineStr">
        <is>
          <t>10</t>
        </is>
      </c>
      <c r="B12" s="3" t="inlineStr">
        <is>
          <t>Автокран 16 т (Ивановец)</t>
        </is>
      </c>
      <c r="C12" s="3" t="inlineStr">
        <is>
          <t>смена</t>
        </is>
      </c>
      <c r="D12" s="3" t="inlineStr">
        <is>
          <t>20 000 - 28 000 ₽</t>
        </is>
      </c>
      <c r="E12" s="4" t="n">
        <v>16000</v>
      </c>
      <c r="F12" s="4" t="n">
        <v>32000</v>
      </c>
      <c r="G12" s="4" t="n">
        <v>22500</v>
      </c>
      <c r="H12" s="7" t="n">
        <v>-0.0625</v>
      </c>
      <c r="I12" s="4" t="n">
        <v>420000</v>
      </c>
      <c r="J12" s="3" t="inlineStr">
        <is>
          <t>от 400 000 ₽</t>
        </is>
      </c>
      <c r="K12" s="3" t="inlineStr">
        <is>
          <t>без НДС</t>
        </is>
      </c>
      <c r="L12" s="3" t="inlineStr">
        <is>
          <t>мин 3–4 ч</t>
        </is>
      </c>
      <c r="M12" s="3" t="inlineStr">
        <is>
          <t>uslugi.yandex.ru (до 15 т от 2500 ₽/ч); farpost (от 3000 ₽/ч); perevozka24 (25 т 24 000/смена)</t>
        </is>
      </c>
      <c r="N12" s="3" t="inlineStr">
        <is>
          <t>20.10.2026</t>
        </is>
      </c>
      <c r="O12" s="3" t="inlineStr"/>
      <c r="P12" s="3" t="inlineStr">
        <is>
          <t>В рынке</t>
        </is>
      </c>
    </row>
    <row r="13">
      <c r="A13" s="3" t="inlineStr">
        <is>
          <t>11</t>
        </is>
      </c>
      <c r="B13" s="3" t="inlineStr">
        <is>
          <t>Компрессор дизельный ~5 м³/мин</t>
        </is>
      </c>
      <c r="C13" s="3" t="inlineStr">
        <is>
          <t>смена</t>
        </is>
      </c>
      <c r="D13" s="3" t="inlineStr">
        <is>
          <t>6 000 - 10 000 ₽</t>
        </is>
      </c>
      <c r="E13" s="4" t="n">
        <v>4000</v>
      </c>
      <c r="F13" s="4" t="n">
        <v>17600</v>
      </c>
      <c r="G13" s="4" t="n">
        <v>6500</v>
      </c>
      <c r="H13" s="6" t="n">
        <v>-0.1875</v>
      </c>
      <c r="I13" s="4" t="n">
        <v>110000</v>
      </c>
      <c r="J13" s="3" t="inlineStr">
        <is>
          <t>от 130 000 ₽</t>
        </is>
      </c>
      <c r="K13" s="3" t="inlineStr">
        <is>
          <t>прокаты — безнал с НДС</t>
        </is>
      </c>
      <c r="L13" s="3" t="inlineStr">
        <is>
          <t>буксир, доставка от 200 ₽</t>
        </is>
      </c>
      <c r="M13" s="3" t="inlineStr">
        <is>
          <t>stroika-arenda (XAS 97 4000 ₽/сут); стахановец.рф (DACS-3 4000–5000); perevozka24 (900–2200 ₽/ч с оператором)</t>
        </is>
      </c>
      <c r="N13" s="3" t="inlineStr">
        <is>
          <t>20.10.2026</t>
        </is>
      </c>
      <c r="O13" s="8" t="inlineStr">
        <is>
          <t>ДА</t>
        </is>
      </c>
      <c r="P13" s="3" t="inlineStr">
        <is>
          <t>Смена в рынке, месяц слегка завышен</t>
        </is>
      </c>
    </row>
    <row r="14">
      <c r="A14" s="3" t="inlineStr">
        <is>
          <t>12</t>
        </is>
      </c>
      <c r="B14" s="3" t="inlineStr">
        <is>
          <t>Отбойный молоток пневматический</t>
        </is>
      </c>
      <c r="C14" s="3" t="inlineStr">
        <is>
          <t>смена</t>
        </is>
      </c>
      <c r="D14" s="3" t="inlineStr">
        <is>
          <t>1 200 - 2 000 ₽</t>
        </is>
      </c>
      <c r="E14" s="4" t="n">
        <v>900</v>
      </c>
      <c r="F14" s="4" t="n">
        <v>2500</v>
      </c>
      <c r="G14" s="4" t="n">
        <v>1500</v>
      </c>
      <c r="H14" s="7" t="n">
        <v>-0.0625</v>
      </c>
      <c r="I14" s="4" t="n">
        <v>35000</v>
      </c>
      <c r="J14" s="3" t="inlineStr">
        <is>
          <t>от 20 000 ₽</t>
        </is>
      </c>
      <c r="K14" s="3" t="inlineStr">
        <is>
          <t>есть с НДС</t>
        </is>
      </c>
      <c r="L14" s="3" t="inlineStr">
        <is>
          <t>доставка от 300 ₽</t>
        </is>
      </c>
      <c r="M14" s="3" t="inlineStr">
        <is>
          <t>arenda-dv.ru (МОП-3 от 900); стахановец.рф (2100–2500); stroika-arenda (эл. 700–1600)</t>
        </is>
      </c>
      <c r="N14" s="3" t="inlineStr">
        <is>
          <t>20.10.2026</t>
        </is>
      </c>
      <c r="O14" s="3" t="inlineStr"/>
      <c r="P14" s="3" t="inlineStr">
        <is>
          <t>Смена в рынке; месяц в смете ЗАНИЖЕН (реально 30–40 тыс.)</t>
        </is>
      </c>
    </row>
    <row r="15">
      <c r="A15" s="3" t="inlineStr">
        <is>
          <t>13</t>
        </is>
      </c>
      <c r="B15" s="3" t="inlineStr">
        <is>
          <t>Пост газосварки/резки (без газов)</t>
        </is>
      </c>
      <c r="C15" s="3" t="inlineStr">
        <is>
          <t>смена</t>
        </is>
      </c>
      <c r="D15" s="3" t="inlineStr">
        <is>
          <t>1 800 - 3 000 ₽</t>
        </is>
      </c>
      <c r="E15" s="4" t="n">
        <v>400</v>
      </c>
      <c r="F15" s="4" t="n">
        <v>900</v>
      </c>
      <c r="G15" s="4" t="n">
        <v>600</v>
      </c>
      <c r="H15" s="6" t="n">
        <v>-0.75</v>
      </c>
      <c r="I15" s="4" t="n">
        <v>15000</v>
      </c>
      <c r="J15" s="3" t="inlineStr">
        <is>
          <t>от 30 000 ₽</t>
        </is>
      </c>
      <c r="K15" s="3" t="inlineStr">
        <is>
          <t>безнал есть</t>
        </is>
      </c>
      <c r="L15" s="3" t="inlineStr">
        <is>
          <t>150–300 ₽</t>
        </is>
      </c>
      <c r="M15" s="3" t="inlineStr">
        <is>
          <t>stroika-arenda (ПГУ-10П от 600, резак 400); arenda-dv (900–1800 с баллонами)</t>
        </is>
      </c>
      <c r="N15" s="3" t="inlineStr">
        <is>
          <t>20.10.2026</t>
        </is>
      </c>
      <c r="O15" s="3" t="inlineStr"/>
      <c r="P15" s="3" t="inlineStr">
        <is>
          <t>ЗАВЫШЕНО ~в 3 раза</t>
        </is>
      </c>
    </row>
    <row r="16">
      <c r="A16" s="3" t="inlineStr">
        <is>
          <t>14</t>
        </is>
      </c>
      <c r="B16" s="3" t="inlineStr">
        <is>
          <t>Сварочный аппарат до 350 А</t>
        </is>
      </c>
      <c r="C16" s="3" t="inlineStr">
        <is>
          <t>смена</t>
        </is>
      </c>
      <c r="D16" s="3" t="inlineStr">
        <is>
          <t>800 - 1 500 ₽</t>
        </is>
      </c>
      <c r="E16" s="4" t="n">
        <v>500</v>
      </c>
      <c r="F16" s="4" t="n">
        <v>900</v>
      </c>
      <c r="G16" s="4" t="n">
        <v>700</v>
      </c>
      <c r="H16" s="6" t="n">
        <v>-0.3913043478260869</v>
      </c>
      <c r="I16" s="4" t="n">
        <v>17000</v>
      </c>
      <c r="J16" s="3" t="inlineStr">
        <is>
          <t>от 15 000 ₽</t>
        </is>
      </c>
      <c r="K16" s="3" t="inlineStr">
        <is>
          <t>безнал есть</t>
        </is>
      </c>
      <c r="L16" s="3" t="inlineStr">
        <is>
          <t>150–300 ₽</t>
        </is>
      </c>
      <c r="M16" s="3" t="inlineStr">
        <is>
          <t>стахановец.рф (ARC 315 600–800); 2gis Прокат-сервис (700); stroika-arenda (от 500)</t>
        </is>
      </c>
      <c r="N16" s="3" t="inlineStr">
        <is>
          <t>20.10.2026</t>
        </is>
      </c>
      <c r="O16" s="3" t="inlineStr"/>
      <c r="P16" s="3" t="inlineStr">
        <is>
          <t>В рынке / чуть выше</t>
        </is>
      </c>
    </row>
    <row r="17">
      <c r="A17" s="3" t="inlineStr">
        <is>
          <t>15</t>
        </is>
      </c>
      <c r="B17" s="3" t="inlineStr">
        <is>
          <t>Каток грунтовый 16–20 т (30 т в Хабаровске нет)</t>
        </is>
      </c>
      <c r="C17" s="3" t="inlineStr">
        <is>
          <t>смена</t>
        </is>
      </c>
      <c r="D17" s="3" t="inlineStr">
        <is>
          <t>14 000 - 20 000 ₽</t>
        </is>
      </c>
      <c r="E17" s="4" t="n">
        <v>15200</v>
      </c>
      <c r="F17" s="4" t="n">
        <v>22400</v>
      </c>
      <c r="G17" s="4" t="n">
        <v>19000</v>
      </c>
      <c r="H17" s="7" t="n">
        <v>0.1176470588235294</v>
      </c>
      <c r="I17" s="4" t="n">
        <v>370000</v>
      </c>
      <c r="J17" s="3" t="inlineStr">
        <is>
          <t>от 350 000 ₽</t>
        </is>
      </c>
      <c r="K17" s="3" t="inlineStr">
        <is>
          <t>частники без НДС</t>
        </is>
      </c>
      <c r="L17" s="3" t="inlineStr">
        <is>
          <t>трал отдельно</t>
        </is>
      </c>
      <c r="M17" s="3" t="inlineStr">
        <is>
          <t>perevozka24 (SR16 1900–2500 ₽/ч, 20 т 2400–2800 ₽/ч); borg-pro.ru (18 т от 1900 ₽/ч)</t>
        </is>
      </c>
      <c r="N17" s="3" t="inlineStr">
        <is>
          <t>20.10.2026</t>
        </is>
      </c>
      <c r="O17" s="8" t="inlineStr">
        <is>
          <t>ДА</t>
        </is>
      </c>
      <c r="P17" s="3" t="inlineStr">
        <is>
          <t>В рынке (класс заменён)</t>
        </is>
      </c>
    </row>
    <row r="18">
      <c r="A18" s="3" t="inlineStr">
        <is>
          <t>16</t>
        </is>
      </c>
      <c r="B18" s="3" t="inlineStr">
        <is>
          <t>Бункер 8–20 м³ (установка+вывоз)</t>
        </is>
      </c>
      <c r="C18" s="3" t="inlineStr">
        <is>
          <t>вывоз</t>
        </is>
      </c>
      <c r="D18" s="3" t="inlineStr">
        <is>
          <t>4 000 - 9 000 ₽</t>
        </is>
      </c>
      <c r="E18" s="4" t="n">
        <v>3200</v>
      </c>
      <c r="F18" s="4" t="n">
        <v>9500</v>
      </c>
      <c r="G18" s="4" t="n">
        <v>5500</v>
      </c>
      <c r="H18" s="6" t="n">
        <v>-0.1538461538461539</v>
      </c>
      <c r="I18" s="4" t="n">
        <v>55000</v>
      </c>
      <c r="J18" s="3" t="inlineStr">
        <is>
          <t>от 60 000 ₽</t>
        </is>
      </c>
      <c r="K18" s="3" t="inlineStr">
        <is>
          <t>без НДС</t>
        </is>
      </c>
      <c r="L18" s="3" t="inlineStr">
        <is>
          <t>погрузка 1200–7000 ₽ отдельно</t>
        </is>
      </c>
      <c r="M18" s="3" t="inlineStr">
        <is>
          <t>perevozka24 (8 м³ 3600–9500, 20 м³ 7500, 27 м³ 7500–8500); myguru (8 м³ от 3200, 20 м³ от 5700)</t>
        </is>
      </c>
      <c r="N18" s="3" t="inlineStr">
        <is>
          <t>20.10.2026</t>
        </is>
      </c>
      <c r="O18" s="3" t="inlineStr"/>
      <c r="P18" s="3" t="inlineStr">
        <is>
          <t>В рынке</t>
        </is>
      </c>
    </row>
    <row r="19">
      <c r="A19" s="3" t="inlineStr">
        <is>
          <t>17</t>
        </is>
      </c>
      <c r="B19" s="3" t="inlineStr">
        <is>
          <t>Полигон — приём отходов</t>
        </is>
      </c>
      <c r="C19" s="3" t="inlineStr">
        <is>
          <t>т</t>
        </is>
      </c>
      <c r="D19" s="3" t="inlineStr">
        <is>
          <t>600 - 1 800 ₽</t>
        </is>
      </c>
      <c r="E19" s="4" t="n">
        <v>798</v>
      </c>
      <c r="F19" s="4" t="n">
        <v>1500</v>
      </c>
      <c r="G19" s="4" t="n">
        <v>1100</v>
      </c>
      <c r="H19" s="7" t="n">
        <v>-0.08333333333333337</v>
      </c>
      <c r="I19" s="4" t="n"/>
      <c r="J19" s="3" t="n"/>
      <c r="K19" s="3" t="inlineStr">
        <is>
          <t>тариф без НДС (798,41)</t>
        </is>
      </c>
      <c r="L19" s="3" t="inlineStr">
        <is>
          <t>через ПС «Северная»</t>
        </is>
      </c>
      <c r="M19" s="3" t="inlineStr">
        <is>
          <t>Постановление КЦТ Хаб. края 26.11.2025 №40/46 (АО «Спецавтохозяйство», 798,41 ₽/т на 2026); abak27.ru (от 1500 ₽/м³)</t>
        </is>
      </c>
      <c r="N19" s="3" t="inlineStr">
        <is>
          <t>20.10.2026</t>
        </is>
      </c>
      <c r="O19" s="3" t="inlineStr"/>
      <c r="P19" s="3" t="inlineStr">
        <is>
          <t>Низ ниже тарифа, верх завышен; реально 800–1300</t>
        </is>
      </c>
    </row>
    <row r="20">
      <c r="A20" s="2" t="inlineStr">
        <is>
          <t>РАСХОДНЫЕ МАТЕРИАЛЫ</t>
        </is>
      </c>
    </row>
    <row r="21">
      <c r="A21" s="3" t="inlineStr">
        <is>
          <t>18</t>
        </is>
      </c>
      <c r="B21" s="3" t="inlineStr">
        <is>
          <t>Ацетилен 40 л — заправка/обмен</t>
        </is>
      </c>
      <c r="C21" s="3" t="inlineStr">
        <is>
          <t>баллон</t>
        </is>
      </c>
      <c r="D21" s="3" t="inlineStr">
        <is>
          <t>5 000 - 7 500 ₽</t>
        </is>
      </c>
      <c r="E21" s="4" t="n">
        <v>5500</v>
      </c>
      <c r="F21" s="4" t="n">
        <v>13010</v>
      </c>
      <c r="G21" s="4" t="n">
        <v>7000</v>
      </c>
      <c r="H21" s="7" t="n">
        <v>0.1200000000000001</v>
      </c>
      <c r="I21" s="4" t="n"/>
      <c r="J21" s="3" t="n"/>
      <c r="K21" s="3" t="inlineStr">
        <is>
          <t>станция — НДС 5% вкл.</t>
        </is>
      </c>
      <c r="L21" s="3" t="inlineStr">
        <is>
          <t>не вкл.</t>
        </is>
      </c>
      <c r="M21" s="3" t="inlineStr">
        <is>
          <t>stgdv.ru прайс 18.02.2026 (5600–7620, Комсомольск); vdsdv.ru Хабаровск (13 010); bizorg (5500)</t>
        </is>
      </c>
      <c r="N21" s="3" t="inlineStr">
        <is>
          <t>20.10.2026</t>
        </is>
      </c>
      <c r="O21" s="3" t="inlineStr"/>
      <c r="P21" s="3" t="inlineStr">
        <is>
          <t>В рынке как заправка. Покупка с баллоном = 26–45 тыс. (смета занижена в 4–6 раз)</t>
        </is>
      </c>
    </row>
    <row r="22">
      <c r="A22" s="3" t="inlineStr">
        <is>
          <t>19</t>
        </is>
      </c>
      <c r="B22" s="3" t="inlineStr">
        <is>
          <t>Пропан-бутан 50 л — заправка</t>
        </is>
      </c>
      <c r="C22" s="3" t="inlineStr">
        <is>
          <t>баллон</t>
        </is>
      </c>
      <c r="D22" s="3" t="inlineStr">
        <is>
          <t>2 000 - 2 800 ₽</t>
        </is>
      </c>
      <c r="E22" s="4" t="n">
        <v>1450</v>
      </c>
      <c r="F22" s="4" t="n">
        <v>2900</v>
      </c>
      <c r="G22" s="4" t="n">
        <v>2400</v>
      </c>
      <c r="H22" s="7" t="n">
        <v>0</v>
      </c>
      <c r="I22" s="4" t="n"/>
      <c r="J22" s="3" t="n"/>
      <c r="K22" s="3" t="inlineStr">
        <is>
          <t>НДС вкл.</t>
        </is>
      </c>
      <c r="L22" s="3" t="inlineStr">
        <is>
          <t>у «Эко-Газ» включена</t>
        </is>
      </c>
      <c r="M22" s="3" t="inlineStr">
        <is>
          <t>vdsdv.ru (2260); stgdv.ru (2760); эко-газ.рф (2900 с доставкой)</t>
        </is>
      </c>
      <c r="N22" s="3" t="inlineStr">
        <is>
          <t>20.10.2026</t>
        </is>
      </c>
      <c r="O22" s="3" t="inlineStr"/>
      <c r="P22" s="3" t="inlineStr">
        <is>
          <t>В рынке</t>
        </is>
      </c>
    </row>
    <row r="23">
      <c r="A23" s="3" t="inlineStr">
        <is>
          <t>20</t>
        </is>
      </c>
      <c r="B23" s="3" t="inlineStr">
        <is>
          <t>Кислород 40 л (6 м³) — заправка</t>
        </is>
      </c>
      <c r="C23" s="3" t="inlineStr">
        <is>
          <t>баллон</t>
        </is>
      </c>
      <c r="D23" s="3" t="inlineStr">
        <is>
          <t>900 - 1 500 ₽</t>
        </is>
      </c>
      <c r="E23" s="4" t="n">
        <v>700</v>
      </c>
      <c r="F23" s="4" t="n">
        <v>1350</v>
      </c>
      <c r="G23" s="4" t="n">
        <v>900</v>
      </c>
      <c r="H23" s="6" t="n">
        <v>-0.25</v>
      </c>
      <c r="I23" s="4" t="n"/>
      <c r="J23" s="3" t="n"/>
      <c r="K23" s="3" t="inlineStr">
        <is>
          <t>НДС вкл.</t>
        </is>
      </c>
      <c r="L23" s="3" t="inlineStr">
        <is>
          <t>не вкл.</t>
        </is>
      </c>
      <c r="M23" s="3" t="inlineStr">
        <is>
          <t>stgdv.ru (760–780); vdsdv.ru (1350); kislorod-servis (700)</t>
        </is>
      </c>
      <c r="N23" s="3" t="inlineStr">
        <is>
          <t>20.10.2026</t>
        </is>
      </c>
      <c r="O23" s="3" t="inlineStr"/>
      <c r="P23" s="3" t="inlineStr">
        <is>
          <t>Верх 1500 слегка завышен</t>
        </is>
      </c>
    </row>
    <row r="24">
      <c r="A24" s="3" t="inlineStr">
        <is>
          <t>21</t>
        </is>
      </c>
      <c r="B24" s="3" t="inlineStr">
        <is>
          <t>Бензин АИ-95 (АИ-98 = 88,72 ₽)</t>
        </is>
      </c>
      <c r="C24" s="3" t="inlineStr">
        <is>
          <t>л</t>
        </is>
      </c>
      <c r="D24" s="3" t="inlineStr">
        <is>
          <t>73 - 88 ₽</t>
        </is>
      </c>
      <c r="E24" s="4" t="n">
        <v>75.69</v>
      </c>
      <c r="F24" s="4" t="n">
        <v>78.25</v>
      </c>
      <c r="G24" s="4" t="n">
        <v>75.7</v>
      </c>
      <c r="H24" s="7" t="n">
        <v>-0.05962732919254654</v>
      </c>
      <c r="I24" s="4" t="n"/>
      <c r="J24" s="3" t="n"/>
      <c r="K24" s="3" t="inlineStr">
        <is>
          <t>розница, вкл.</t>
        </is>
      </c>
      <c r="L24" s="3" t="inlineStr">
        <is>
          <t>—</t>
        </is>
      </c>
      <c r="M24" s="3" t="inlineStr">
        <is>
          <t>fuelprice.ru/t-habarovsk, 17–20.10.2026 (ННК 75,69; Роснефть 75,75–75,80; АИ-98 88,72)</t>
        </is>
      </c>
      <c r="N24" s="3" t="inlineStr">
        <is>
          <t>20.10.2026</t>
        </is>
      </c>
      <c r="O24" s="3" t="inlineStr"/>
      <c r="P24" s="3" t="inlineStr">
        <is>
          <t>Низ 73 ниже рынка</t>
        </is>
      </c>
    </row>
    <row r="25">
      <c r="A25" s="3" t="inlineStr">
        <is>
          <t>22</t>
        </is>
      </c>
      <c r="B25" s="3" t="inlineStr">
        <is>
          <t>Масло 2Т</t>
        </is>
      </c>
      <c r="C25" s="3" t="inlineStr">
        <is>
          <t>л</t>
        </is>
      </c>
      <c r="D25" s="3" t="inlineStr">
        <is>
          <t>460 - 850 ₽</t>
        </is>
      </c>
      <c r="E25" s="4" t="n">
        <v>342</v>
      </c>
      <c r="F25" s="4" t="n">
        <v>800</v>
      </c>
      <c r="G25" s="4" t="n">
        <v>520</v>
      </c>
      <c r="H25" s="6" t="n">
        <v>-0.2061068702290076</v>
      </c>
      <c r="I25" s="4" t="n"/>
      <c r="J25" s="3" t="n"/>
      <c r="K25" s="3" t="inlineStr">
        <is>
          <t>вкл.</t>
        </is>
      </c>
      <c r="L25" s="3" t="inlineStr">
        <is>
          <t>—</t>
        </is>
      </c>
      <c r="M25" s="3" t="inlineStr">
        <is>
          <t>hatar.ru Хабаровск (430–680); lemanapro Хабаровск (342–650); skatpower (470)</t>
        </is>
      </c>
      <c r="N25" s="3" t="inlineStr">
        <is>
          <t>20.10.2026</t>
        </is>
      </c>
      <c r="O25" s="3" t="inlineStr"/>
      <c r="P25" s="3" t="inlineStr">
        <is>
          <t>В рынке</t>
        </is>
      </c>
    </row>
    <row r="26">
      <c r="A26" s="3" t="inlineStr">
        <is>
          <t>23</t>
        </is>
      </c>
      <c r="B26" s="3" t="inlineStr">
        <is>
          <t>Масло цепное</t>
        </is>
      </c>
      <c r="C26" s="3" t="inlineStr">
        <is>
          <t>л</t>
        </is>
      </c>
      <c r="D26" s="3" t="inlineStr">
        <is>
          <t>1 000 - 1 500 ₽</t>
        </is>
      </c>
      <c r="E26" s="4" t="n">
        <v>250</v>
      </c>
      <c r="F26" s="4" t="n">
        <v>700</v>
      </c>
      <c r="G26" s="4" t="n">
        <v>480</v>
      </c>
      <c r="H26" s="6" t="n">
        <v>-0.616</v>
      </c>
      <c r="I26" s="4" t="n"/>
      <c r="J26" s="3" t="n"/>
      <c r="K26" s="3" t="inlineStr">
        <is>
          <t>вкл.</t>
        </is>
      </c>
      <c r="L26" s="3" t="inlineStr">
        <is>
          <t>—</t>
        </is>
      </c>
      <c r="M26" s="3" t="inlineStr">
        <is>
          <t>lemanapro.ru (231–700); vseinstrumenti (368–429); husq.ru (1290–1490 — бренд)</t>
        </is>
      </c>
      <c r="N26" s="3" t="inlineStr">
        <is>
          <t>20.10.2026</t>
        </is>
      </c>
      <c r="O26" s="8" t="inlineStr">
        <is>
          <t>ДА</t>
        </is>
      </c>
      <c r="P26" s="3" t="inlineStr">
        <is>
          <t>ЗАВЫШЕНО в 2–3 раза (если не фирменное)</t>
        </is>
      </c>
    </row>
    <row r="27">
      <c r="A27" s="2" t="inlineStr">
        <is>
          <t>СТРОИТЕЛЬНЫЕ МАТЕРИАЛЫ</t>
        </is>
      </c>
    </row>
    <row r="28">
      <c r="A28" s="3" t="inlineStr">
        <is>
          <t>24</t>
        </is>
      </c>
      <c r="B28" s="3" t="inlineStr">
        <is>
          <t>Песок строительный II кл. (с доставкой)</t>
        </is>
      </c>
      <c r="C28" s="3" t="inlineStr">
        <is>
          <t>м³</t>
        </is>
      </c>
      <c r="D28" s="3" t="inlineStr">
        <is>
          <t>500 - 1 300 ₽</t>
        </is>
      </c>
      <c r="E28" s="4" t="n">
        <v>500</v>
      </c>
      <c r="F28" s="4" t="n">
        <v>1280</v>
      </c>
      <c r="G28" s="4" t="n">
        <v>900</v>
      </c>
      <c r="H28" s="7" t="n">
        <v>0</v>
      </c>
      <c r="I28" s="4" t="n"/>
      <c r="J28" s="3" t="n"/>
      <c r="K28" s="3" t="inlineStr">
        <is>
          <t>НДС не указан</t>
        </is>
      </c>
      <c r="L28" s="3" t="inlineStr">
        <is>
          <t>вкл. в 900 (Виноградовка)</t>
        </is>
      </c>
      <c r="M28" s="3" t="inlineStr">
        <is>
          <t>amurcement.ru (730–760 + доставка от 1000); песоквхабаровске.рф (500 самовывоз / 900 с дост.); perevozka24</t>
        </is>
      </c>
      <c r="N28" s="3" t="inlineStr">
        <is>
          <t>20.10.2026</t>
        </is>
      </c>
      <c r="O28" s="3" t="inlineStr"/>
      <c r="P28" s="3" t="inlineStr">
        <is>
          <t>В рынке</t>
        </is>
      </c>
    </row>
    <row r="29">
      <c r="A29" s="3" t="inlineStr">
        <is>
          <t>25</t>
        </is>
      </c>
      <c r="B29" s="3" t="inlineStr">
        <is>
          <t>Щебень гранитный крупный (80-120 нет; между 40-70 и 100-200)</t>
        </is>
      </c>
      <c r="C29" s="3" t="inlineStr">
        <is>
          <t>м³</t>
        </is>
      </c>
      <c r="D29" s="3" t="inlineStr">
        <is>
          <t>2 000 - 4 100 ₽</t>
        </is>
      </c>
      <c r="E29" s="4" t="n">
        <v>1891</v>
      </c>
      <c r="F29" s="4" t="n">
        <v>3000</v>
      </c>
      <c r="G29" s="4" t="n">
        <v>2600</v>
      </c>
      <c r="H29" s="7" t="n">
        <v>-0.1475409836065574</v>
      </c>
      <c r="I29" s="4" t="n"/>
      <c r="J29" s="3" t="n"/>
      <c r="K29" s="3" t="inlineStr">
        <is>
          <t>вкл. 22%</t>
        </is>
      </c>
      <c r="L29" s="3" t="inlineStr">
        <is>
          <t>самовывоз ~2100; доставка +500–900</t>
        </is>
      </c>
      <c r="M29" s="3" t="inlineStr">
        <is>
          <t>Корфовский каменный карьер, прайс с 01.02.2026 (40-70 1891, 100-200 2318 с НДС) aokkk.ru</t>
        </is>
      </c>
      <c r="N29" s="3" t="inlineStr">
        <is>
          <t>20.10.2026</t>
        </is>
      </c>
      <c r="O29" s="8" t="inlineStr">
        <is>
          <t>ДА</t>
        </is>
      </c>
      <c r="P29" s="3" t="inlineStr">
        <is>
          <t>Верх 4100 — только при дальней доставке</t>
        </is>
      </c>
    </row>
    <row r="30">
      <c r="A30" s="3" t="inlineStr">
        <is>
          <t>26</t>
        </is>
      </c>
      <c r="B30" s="3" t="inlineStr">
        <is>
          <t>Щебень 20-40</t>
        </is>
      </c>
      <c r="C30" s="3" t="inlineStr">
        <is>
          <t>м³</t>
        </is>
      </c>
      <c r="D30" s="3" t="inlineStr">
        <is>
          <t>1 990 - 2 800 ₽</t>
        </is>
      </c>
      <c r="E30" s="4" t="n">
        <v>1952</v>
      </c>
      <c r="F30" s="4" t="n">
        <v>2800</v>
      </c>
      <c r="G30" s="4" t="n">
        <v>2300</v>
      </c>
      <c r="H30" s="7" t="n">
        <v>-0.0396659707724426</v>
      </c>
      <c r="I30" s="4" t="n"/>
      <c r="J30" s="3" t="n"/>
      <c r="K30" s="3" t="inlineStr">
        <is>
          <t>вкл. 22%</t>
        </is>
      </c>
      <c r="L30" s="3" t="inlineStr">
        <is>
          <t>+600–900 ₽/м³</t>
        </is>
      </c>
      <c r="M30" s="3" t="inlineStr">
        <is>
          <t>Корфовский карьер (1952 с НДС, 01.02.2026); regtorg</t>
        </is>
      </c>
      <c r="N30" s="3" t="inlineStr">
        <is>
          <t>20.10.2026</t>
        </is>
      </c>
      <c r="O30" s="3" t="inlineStr"/>
      <c r="P30" s="3" t="inlineStr">
        <is>
          <t>В рынке</t>
        </is>
      </c>
    </row>
    <row r="31">
      <c r="A31" s="3" t="inlineStr">
        <is>
          <t>27</t>
        </is>
      </c>
      <c r="B31" s="3" t="inlineStr">
        <is>
          <t>Грунт растительный (навал с доставкой)</t>
        </is>
      </c>
      <c r="C31" s="3" t="inlineStr">
        <is>
          <t>м³</t>
        </is>
      </c>
      <c r="D31" s="3" t="inlineStr">
        <is>
          <t>500 - 2 500 ₽</t>
        </is>
      </c>
      <c r="E31" s="4" t="n">
        <v>600</v>
      </c>
      <c r="F31" s="4" t="n">
        <v>1300</v>
      </c>
      <c r="G31" s="4" t="n">
        <v>800</v>
      </c>
      <c r="H31" s="6" t="n">
        <v>-0.4666666666666667</v>
      </c>
      <c r="I31" s="4" t="n"/>
      <c r="J31" s="3" t="n"/>
      <c r="K31" s="3" t="inlineStr">
        <is>
          <t>н/д</t>
        </is>
      </c>
      <c r="L31" s="3" t="inlineStr">
        <is>
          <t>рейс 6500–9500</t>
        </is>
      </c>
      <c r="M31" s="3" t="inlineStr">
        <is>
          <t>ekogrunt-khv.ru (от 650; биг-бэг 2500); regtorg (599–1300)</t>
        </is>
      </c>
      <c r="N31" s="3" t="inlineStr">
        <is>
          <t>20.10.2026</t>
        </is>
      </c>
      <c r="O31" s="3" t="inlineStr"/>
      <c r="P31" s="3" t="inlineStr">
        <is>
          <t>Верх 2500 — только биг-бэги</t>
        </is>
      </c>
    </row>
    <row r="32">
      <c r="A32" s="3" t="inlineStr">
        <is>
          <t>28</t>
        </is>
      </c>
      <c r="B32" s="3" t="inlineStr">
        <is>
          <t>Вода техническая (водовоз)</t>
        </is>
      </c>
      <c r="C32" s="3" t="inlineStr">
        <is>
          <t>м³</t>
        </is>
      </c>
      <c r="D32" s="3" t="inlineStr">
        <is>
          <t>400 - 700 ₽</t>
        </is>
      </c>
      <c r="E32" s="4" t="n">
        <v>500</v>
      </c>
      <c r="F32" s="4" t="n">
        <v>700</v>
      </c>
      <c r="G32" s="4" t="n">
        <v>600</v>
      </c>
      <c r="H32" s="7" t="n">
        <v>0.09090909090909083</v>
      </c>
      <c r="I32" s="4" t="n"/>
      <c r="J32" s="3" t="n"/>
      <c r="K32" s="3" t="inlineStr">
        <is>
          <t>н/д</t>
        </is>
      </c>
      <c r="L32" s="3" t="inlineStr">
        <is>
          <t>вкл.</t>
        </is>
      </c>
      <c r="M32" s="3" t="inlineStr">
        <is>
          <t>perevozka24 (500–700); uslugi.yandex.ru (от 1500/заказ)</t>
        </is>
      </c>
      <c r="N32" s="3" t="inlineStr">
        <is>
          <t>20.10.2026</t>
        </is>
      </c>
      <c r="O32" s="3" t="inlineStr"/>
      <c r="P32" s="3" t="inlineStr">
        <is>
          <t>В рынке</t>
        </is>
      </c>
    </row>
    <row r="33">
      <c r="A33" s="3" t="inlineStr">
        <is>
          <t>29</t>
        </is>
      </c>
      <c r="B33" s="3" t="inlineStr">
        <is>
          <t>Асфальтобетон горячий тип А/Б (ЩМА ~8 500–9 000)</t>
        </is>
      </c>
      <c r="C33" s="3" t="inlineStr">
        <is>
          <t>т</t>
        </is>
      </c>
      <c r="D33" s="3" t="inlineStr">
        <is>
          <t>3 400 - 7 000 ₽</t>
        </is>
      </c>
      <c r="E33" s="4" t="n">
        <v>6300</v>
      </c>
      <c r="F33" s="4" t="n">
        <v>9000</v>
      </c>
      <c r="G33" s="4" t="n">
        <v>7000</v>
      </c>
      <c r="H33" s="5" t="n">
        <v>0.3461538461538463</v>
      </c>
      <c r="I33" s="4" t="n"/>
      <c r="J33" s="3" t="n"/>
      <c r="K33" s="3" t="inlineStr">
        <is>
          <t>вероятно вкл.</t>
        </is>
      </c>
      <c r="L33" s="3" t="inlineStr">
        <is>
          <t>самосвал 25 т — 14 000/рейс</t>
        </is>
      </c>
      <c r="M33" s="3" t="inlineStr">
        <is>
          <t>2gis «Дорожно-строительные материалы», прайс 30.04.2025 (А/Б 6500–6700, ЩМА 8300); пересчёт на 2026 +4–8%</t>
        </is>
      </c>
      <c r="N33" s="3" t="inlineStr">
        <is>
          <t>20.10.2026</t>
        </is>
      </c>
      <c r="O33" s="8" t="inlineStr">
        <is>
          <t>ДА</t>
        </is>
      </c>
      <c r="P33" s="3" t="inlineStr">
        <is>
          <t>Низ 3400 ЗАНИЖЕН почти вдвое</t>
        </is>
      </c>
    </row>
    <row r="34">
      <c r="A34" s="3" t="inlineStr">
        <is>
          <t>30</t>
        </is>
      </c>
      <c r="B34" s="3" t="inlineStr">
        <is>
          <t>Катанка 6,3–6,5 мм</t>
        </is>
      </c>
      <c r="C34" s="3" t="inlineStr">
        <is>
          <t>т</t>
        </is>
      </c>
      <c r="D34" s="3" t="inlineStr">
        <is>
          <t>80 000 - 91 000 ₽</t>
        </is>
      </c>
      <c r="E34" s="4" t="n">
        <v>72000</v>
      </c>
      <c r="F34" s="4" t="n">
        <v>82000</v>
      </c>
      <c r="G34" s="4" t="n">
        <v>77000</v>
      </c>
      <c r="H34" s="7" t="n">
        <v>-0.09941520467836262</v>
      </c>
      <c r="I34" s="4" t="n"/>
      <c r="J34" s="3" t="n"/>
      <c r="K34" s="3" t="inlineStr">
        <is>
          <t>с НДС</t>
        </is>
      </c>
      <c r="L34" s="3" t="inlineStr">
        <is>
          <t>склад в Хабаровске</t>
        </is>
      </c>
      <c r="M34" s="3" t="inlineStr">
        <is>
          <t>Металлсервис Хабаровск, прайс price_hab.xls 20.10.2026 (А1 Ø6 78 590; катанки нет)</t>
        </is>
      </c>
      <c r="N34" s="3" t="inlineStr">
        <is>
          <t>20.10.2026</t>
        </is>
      </c>
      <c r="O34" s="8" t="inlineStr">
        <is>
          <t>ДА</t>
        </is>
      </c>
      <c r="P34" s="3" t="inlineStr">
        <is>
          <t>Слегка завышено</t>
        </is>
      </c>
    </row>
    <row r="35">
      <c r="A35" s="3" t="inlineStr">
        <is>
          <t>31</t>
        </is>
      </c>
      <c r="B35" s="3" t="inlineStr">
        <is>
          <t>Лес круглый хвойный ø14–24</t>
        </is>
      </c>
      <c r="C35" s="3" t="inlineStr">
        <is>
          <t>м³</t>
        </is>
      </c>
      <c r="D35" s="3" t="inlineStr">
        <is>
          <t>10 000 - 15 000 ₽</t>
        </is>
      </c>
      <c r="E35" s="4" t="n">
        <v>3500</v>
      </c>
      <c r="F35" s="4" t="n">
        <v>8500</v>
      </c>
      <c r="G35" s="4" t="n">
        <v>6000</v>
      </c>
      <c r="H35" s="6" t="n">
        <v>-0.52</v>
      </c>
      <c r="I35" s="4" t="n"/>
      <c r="J35" s="3" t="n"/>
      <c r="K35" s="3" t="inlineStr">
        <is>
          <t>н/д</t>
        </is>
      </c>
      <c r="L35" s="3" t="inlineStr">
        <is>
          <t>+1000–2500</t>
        </is>
      </c>
      <c r="M35" s="3" t="inlineStr">
        <is>
          <t>gde.ru Хабаровск (3500); woodresource (лиственница 8500); berfi (3150–3500)</t>
        </is>
      </c>
      <c r="N35" s="3" t="inlineStr">
        <is>
          <t>20.10.2026</t>
        </is>
      </c>
      <c r="O35" s="3" t="inlineStr"/>
      <c r="P35" s="3" t="inlineStr">
        <is>
          <t>ЗАВЫШЕНО в 1,5–2 раза</t>
        </is>
      </c>
    </row>
    <row r="36">
      <c r="A36" s="3" t="inlineStr">
        <is>
          <t>32</t>
        </is>
      </c>
      <c r="B36" s="3" t="inlineStr">
        <is>
          <t>Брусок обрезной хвоя 1–2 с.</t>
        </is>
      </c>
      <c r="C36" s="3" t="inlineStr">
        <is>
          <t>м³</t>
        </is>
      </c>
      <c r="D36" s="3" t="inlineStr">
        <is>
          <t>18 000 - 24 000 ₽</t>
        </is>
      </c>
      <c r="E36" s="4" t="n">
        <v>10500</v>
      </c>
      <c r="F36" s="4" t="n">
        <v>28000</v>
      </c>
      <c r="G36" s="4" t="n">
        <v>22000</v>
      </c>
      <c r="H36" s="7" t="n">
        <v>0.04761904761904767</v>
      </c>
      <c r="I36" s="4" t="n"/>
      <c r="J36" s="3" t="n"/>
      <c r="K36" s="3" t="inlineStr">
        <is>
          <t>ДОК: оба варианта</t>
        </is>
      </c>
      <c r="L36" s="3" t="inlineStr">
        <is>
          <t>по городу</t>
        </is>
      </c>
      <c r="M36" s="3" t="inlineStr">
        <is>
          <t>docandrey.ru Андреевский ДОК (22 000–23 400 без НДС); gde.ru (10 500 ест. влажн.)</t>
        </is>
      </c>
      <c r="N36" s="3" t="inlineStr">
        <is>
          <t>20.10.2026</t>
        </is>
      </c>
      <c r="O36" s="3" t="inlineStr"/>
      <c r="P36" s="3" t="inlineStr">
        <is>
          <t>В рынке</t>
        </is>
      </c>
    </row>
    <row r="37">
      <c r="A37" s="3" t="inlineStr">
        <is>
          <t>33</t>
        </is>
      </c>
      <c r="B37" s="3" t="inlineStr">
        <is>
          <t>Доска обрезная 25 мм</t>
        </is>
      </c>
      <c r="C37" s="3" t="inlineStr">
        <is>
          <t>м³</t>
        </is>
      </c>
      <c r="D37" s="3" t="inlineStr">
        <is>
          <t>16 000 - 22 000 ₽</t>
        </is>
      </c>
      <c r="E37" s="4" t="n">
        <v>9500</v>
      </c>
      <c r="F37" s="4" t="n">
        <v>22800</v>
      </c>
      <c r="G37" s="4" t="n">
        <v>18000</v>
      </c>
      <c r="H37" s="7" t="n">
        <v>-0.05263157894736847</v>
      </c>
      <c r="I37" s="4" t="n"/>
      <c r="J37" s="3" t="n"/>
      <c r="K37" s="3" t="inlineStr">
        <is>
          <t>ДОК: оба варианта</t>
        </is>
      </c>
      <c r="L37" s="3" t="inlineStr">
        <is>
          <t>по городу</t>
        </is>
      </c>
      <c r="M37" s="3" t="inlineStr">
        <is>
          <t>docandrey.ru (18 000–19 000); gde.ru (9500–10 500)</t>
        </is>
      </c>
      <c r="N37" s="3" t="inlineStr">
        <is>
          <t>20.10.2026</t>
        </is>
      </c>
      <c r="O37" s="3" t="inlineStr"/>
      <c r="P37" s="3" t="inlineStr">
        <is>
          <t>В рынке</t>
        </is>
      </c>
    </row>
    <row r="38">
      <c r="A38" s="3" t="inlineStr">
        <is>
          <t>34</t>
        </is>
      </c>
      <c r="B38" s="3" t="inlineStr">
        <is>
          <t>Геотекстиль 300 г/м²</t>
        </is>
      </c>
      <c r="C38" s="3" t="inlineStr">
        <is>
          <t>м²</t>
        </is>
      </c>
      <c r="D38" s="3" t="inlineStr">
        <is>
          <t>31 - 90 ₽</t>
        </is>
      </c>
      <c r="E38" s="4" t="n">
        <v>36</v>
      </c>
      <c r="F38" s="4" t="n">
        <v>147</v>
      </c>
      <c r="G38" s="4" t="n">
        <v>90</v>
      </c>
      <c r="H38" s="5" t="n">
        <v>0.4876033057851239</v>
      </c>
      <c r="I38" s="4" t="n"/>
      <c r="J38" s="3" t="n"/>
      <c r="K38" s="3" t="inlineStr">
        <is>
          <t>н/д</t>
        </is>
      </c>
      <c r="L38" s="3" t="inlineStr">
        <is>
          <t>склады в Хабаровске</t>
        </is>
      </c>
      <c r="M38" s="3" t="inlineStr">
        <is>
          <t>promzapas Хабаровск (79–147); asc-khv.ru (100); uik-rus (от 36, опт)</t>
        </is>
      </c>
      <c r="N38" s="3" t="inlineStr">
        <is>
          <t>20.10.2026</t>
        </is>
      </c>
      <c r="O38" s="3" t="inlineStr"/>
      <c r="P38" s="3" t="inlineStr">
        <is>
          <t>Низ 31 занижен</t>
        </is>
      </c>
    </row>
    <row r="39">
      <c r="A39" s="3" t="inlineStr">
        <is>
          <t>35</t>
        </is>
      </c>
      <c r="B39" s="3" t="inlineStr">
        <is>
          <t>Камень бутовый 150–500 мм</t>
        </is>
      </c>
      <c r="C39" s="3" t="inlineStr">
        <is>
          <t>т</t>
        </is>
      </c>
      <c r="D39" s="3" t="inlineStr">
        <is>
          <t>5 900 - 6 500 ₽</t>
        </is>
      </c>
      <c r="E39" s="4" t="n">
        <v>1500</v>
      </c>
      <c r="F39" s="4" t="n">
        <v>3500</v>
      </c>
      <c r="G39" s="4" t="n">
        <v>2500</v>
      </c>
      <c r="H39" s="6" t="n">
        <v>-0.5967741935483871</v>
      </c>
      <c r="I39" s="4" t="n"/>
      <c r="J39" s="3" t="n"/>
      <c r="K39" s="3" t="inlineStr">
        <is>
          <t>—</t>
        </is>
      </c>
      <c r="L39" s="3" t="inlineStr">
        <is>
          <t>+500–1000 ₽/т</t>
        </is>
      </c>
      <c r="M39" s="3" t="inlineStr">
        <is>
          <t>Хабаровских цен нет; Корфовский карьер (тел. 4212 49-22-32); regtorg (другие города 600–2500)</t>
        </is>
      </c>
      <c r="N39" s="3" t="inlineStr">
        <is>
          <t>20.10.2026</t>
        </is>
      </c>
      <c r="O39" s="8" t="inlineStr">
        <is>
          <t>ДА</t>
        </is>
      </c>
      <c r="P39" s="3" t="inlineStr">
        <is>
          <t>ЗАВЫШЕНО в 2–3 раза</t>
        </is>
      </c>
    </row>
    <row r="40">
      <c r="A40" s="3" t="inlineStr">
        <is>
          <t>36</t>
        </is>
      </c>
      <c r="B40" s="3" t="inlineStr">
        <is>
          <t>Плёнка ПЭ 200 мкм (500 мкм ≈ 60–90)</t>
        </is>
      </c>
      <c r="C40" s="3" t="inlineStr">
        <is>
          <t>м²</t>
        </is>
      </c>
      <c r="D40" s="3" t="inlineStr">
        <is>
          <t>50 - 100 ₽</t>
        </is>
      </c>
      <c r="E40" s="4" t="n">
        <v>20</v>
      </c>
      <c r="F40" s="4" t="n">
        <v>37</v>
      </c>
      <c r="G40" s="4" t="n">
        <v>30</v>
      </c>
      <c r="H40" s="6" t="n">
        <v>-0.6</v>
      </c>
      <c r="I40" s="4" t="n"/>
      <c r="J40" s="3" t="n"/>
      <c r="K40" s="3" t="inlineStr">
        <is>
          <t>с НДС</t>
        </is>
      </c>
      <c r="L40" s="3" t="inlineStr">
        <is>
          <t>в городе</t>
        </is>
      </c>
      <c r="M40" s="3" t="inlineStr">
        <is>
          <t>khv-fanera.ru прайс 25.09.2026 (30,7 ₽/м²); техрегион Владивосток (36,7)</t>
        </is>
      </c>
      <c r="N40" s="3" t="inlineStr">
        <is>
          <t>20.10.2026</t>
        </is>
      </c>
      <c r="O40" s="3" t="inlineStr"/>
      <c r="P40" s="3" t="inlineStr">
        <is>
          <t>ЗАВЫШЕНО в 2–3 раза для 200 мкм</t>
        </is>
      </c>
    </row>
    <row r="41">
      <c r="A41" s="3" t="inlineStr">
        <is>
          <t>37</t>
        </is>
      </c>
      <c r="B41" s="3" t="inlineStr">
        <is>
          <t>Связующее полиуретановое (с доставкой)</t>
        </is>
      </c>
      <c r="C41" s="3" t="inlineStr">
        <is>
          <t>кг</t>
        </is>
      </c>
      <c r="D41" s="3" t="inlineStr">
        <is>
          <t>340 - 585 ₽</t>
        </is>
      </c>
      <c r="E41" s="4" t="n">
        <v>265</v>
      </c>
      <c r="F41" s="4" t="n">
        <v>630</v>
      </c>
      <c r="G41" s="4" t="n">
        <v>460</v>
      </c>
      <c r="H41" s="7" t="n">
        <v>-0.00540540540540535</v>
      </c>
      <c r="I41" s="4" t="n"/>
      <c r="J41" s="3" t="n"/>
      <c r="K41" s="3" t="inlineStr">
        <is>
          <t>с НДС</t>
        </is>
      </c>
      <c r="L41" s="3" t="inlineStr">
        <is>
          <t>ПЭК ~60 ₽/кг</t>
        </is>
      </c>
      <c r="M41" s="3" t="inlineStr">
        <is>
          <t>hab.gumbit.ru (300–500); russian-polymer.ru (340–420); + ПЭК 60,4 ₽/кг</t>
        </is>
      </c>
      <c r="N41" s="3" t="inlineStr">
        <is>
          <t>20.10.2026</t>
        </is>
      </c>
      <c r="O41" s="8" t="inlineStr">
        <is>
          <t>ДА</t>
        </is>
      </c>
      <c r="P41" s="3" t="inlineStr">
        <is>
          <t>В рынке</t>
        </is>
      </c>
    </row>
    <row r="42">
      <c r="A42" s="3" t="inlineStr">
        <is>
          <t>38</t>
        </is>
      </c>
      <c r="B42" s="3" t="inlineStr">
        <is>
          <t>Пигменты для крошки (с доставкой)</t>
        </is>
      </c>
      <c r="C42" s="3" t="inlineStr">
        <is>
          <t>кг</t>
        </is>
      </c>
      <c r="D42" s="3" t="inlineStr">
        <is>
          <t>250 - 450 ₽</t>
        </is>
      </c>
      <c r="E42" s="4" t="n">
        <v>165</v>
      </c>
      <c r="F42" s="4" t="n">
        <v>295</v>
      </c>
      <c r="G42" s="4" t="n">
        <v>270</v>
      </c>
      <c r="H42" s="6" t="n">
        <v>-0.2285714285714285</v>
      </c>
      <c r="I42" s="4" t="n"/>
      <c r="J42" s="3" t="n"/>
      <c r="K42" s="3" t="inlineStr">
        <is>
          <t>с НДС</t>
        </is>
      </c>
      <c r="L42" s="3" t="inlineStr">
        <is>
          <t>+60 ₽/кг</t>
        </is>
      </c>
      <c r="M42" s="3" t="inlineStr">
        <is>
          <t>hab.gumbit.ru (172–250); darina.com.ru (190–240)</t>
        </is>
      </c>
      <c r="N42" s="3" t="inlineStr">
        <is>
          <t>20.10.2026</t>
        </is>
      </c>
      <c r="O42" s="8" t="inlineStr">
        <is>
          <t>ДА</t>
        </is>
      </c>
      <c r="P42" s="3" t="inlineStr">
        <is>
          <t>В рынке</t>
        </is>
      </c>
    </row>
    <row r="43">
      <c r="A43" s="3" t="inlineStr">
        <is>
          <t>39</t>
        </is>
      </c>
      <c r="B43" s="3" t="inlineStr">
        <is>
          <t>Крошка резиновая чёрная (с доставкой)</t>
        </is>
      </c>
      <c r="C43" s="3" t="inlineStr">
        <is>
          <t>кг</t>
        </is>
      </c>
      <c r="D43" s="3" t="inlineStr">
        <is>
          <t>21 - 35 ₽</t>
        </is>
      </c>
      <c r="E43" s="4" t="n">
        <v>21</v>
      </c>
      <c r="F43" s="4" t="n">
        <v>115</v>
      </c>
      <c r="G43" s="4" t="n">
        <v>55</v>
      </c>
      <c r="H43" s="5" t="n">
        <v>0.9642857142857142</v>
      </c>
      <c r="I43" s="4" t="n"/>
      <c r="J43" s="3" t="n"/>
      <c r="K43" s="3" t="inlineStr">
        <is>
          <t>с НДС</t>
        </is>
      </c>
      <c r="L43" s="3" t="inlineStr">
        <is>
          <t>ПЭК ~60 ₽/кг; ЖД 15–25</t>
        </is>
      </c>
      <c r="M43" s="3" t="inlineStr">
        <is>
          <t>hab.gumbit.ru (41–58); ural-rti (34–52); местные НьюЭко/Бриз — цены по запросу</t>
        </is>
      </c>
      <c r="N43" s="3" t="inlineStr">
        <is>
          <t>20.10.2026</t>
        </is>
      </c>
      <c r="O43" s="8" t="inlineStr">
        <is>
          <t>ДА</t>
        </is>
      </c>
      <c r="P43" s="3" t="inlineStr">
        <is>
          <t>ЗАНИЖЕНО (21–35 — цена в центре без доставки)</t>
        </is>
      </c>
    </row>
    <row r="44">
      <c r="A44" s="3" t="inlineStr">
        <is>
          <t>40</t>
        </is>
      </c>
      <c r="B44" s="3" t="inlineStr">
        <is>
          <t>Крошка EPDM цветная (с доставкой)</t>
        </is>
      </c>
      <c r="C44" s="3" t="inlineStr">
        <is>
          <t>кг</t>
        </is>
      </c>
      <c r="D44" s="3" t="inlineStr">
        <is>
          <t>153 - 180 ₽</t>
        </is>
      </c>
      <c r="E44" s="4" t="n">
        <v>145</v>
      </c>
      <c r="F44" s="4" t="n">
        <v>220</v>
      </c>
      <c r="G44" s="4" t="n">
        <v>200</v>
      </c>
      <c r="H44" s="5" t="n">
        <v>0.2012012012012012</v>
      </c>
      <c r="I44" s="4" t="n"/>
      <c r="J44" s="3" t="n"/>
      <c r="K44" s="3" t="inlineStr">
        <is>
          <t>с НДС</t>
        </is>
      </c>
      <c r="L44" s="3" t="inlineStr">
        <is>
          <t>+25–60 ₽/кг</t>
        </is>
      </c>
      <c r="M44" s="3" t="inlineStr">
        <is>
          <t>hab.gumbit.ru (158–182); granulos (152); regtorg (145–185)</t>
        </is>
      </c>
      <c r="N44" s="3" t="inlineStr">
        <is>
          <t>20.10.2026</t>
        </is>
      </c>
      <c r="O44" s="8" t="inlineStr">
        <is>
          <t>ДА</t>
        </is>
      </c>
      <c r="P44" s="3" t="inlineStr">
        <is>
          <t>Занижено на 15–35% с доставкой</t>
        </is>
      </c>
    </row>
    <row r="45">
      <c r="A45" s="3" t="inlineStr">
        <is>
          <t>41</t>
        </is>
      </c>
      <c r="B45" s="3" t="inlineStr">
        <is>
          <t>Бордюр БР 100.20.8 серый</t>
        </is>
      </c>
      <c r="C45" s="3" t="inlineStr">
        <is>
          <t>шт</t>
        </is>
      </c>
      <c r="D45" s="3" t="inlineStr">
        <is>
          <t>350 - 600 ₽</t>
        </is>
      </c>
      <c r="E45" s="4" t="n">
        <v>250</v>
      </c>
      <c r="F45" s="4" t="n">
        <v>490</v>
      </c>
      <c r="G45" s="4" t="n">
        <v>340</v>
      </c>
      <c r="H45" s="6" t="n">
        <v>-0.2842105263157895</v>
      </c>
      <c r="I45" s="4" t="n"/>
      <c r="J45" s="3" t="n"/>
      <c r="K45" s="3" t="inlineStr">
        <is>
          <t>н/д</t>
        </is>
      </c>
      <c r="L45" s="3" t="inlineStr">
        <is>
          <t>миксер/манипулятор</t>
        </is>
      </c>
      <c r="M45" s="3" t="inlineStr">
        <is>
          <t>beton27company.ru (250); brushatka-ru.com (340 серый / 590 цветной); pulscen (217–490)</t>
        </is>
      </c>
      <c r="N45" s="3" t="inlineStr">
        <is>
          <t>20.10.2026</t>
        </is>
      </c>
      <c r="O45" s="3" t="inlineStr"/>
      <c r="P45" s="3" t="inlineStr">
        <is>
          <t>Завышено (600 — цветной)</t>
        </is>
      </c>
    </row>
    <row r="46">
      <c r="A46" s="3" t="inlineStr">
        <is>
          <t>42</t>
        </is>
      </c>
      <c r="B46" s="3" t="inlineStr">
        <is>
          <t>Пескобетон М300 (аналог Мастер Гарц) 30 кг</t>
        </is>
      </c>
      <c r="C46" s="3" t="inlineStr">
        <is>
          <t>мешок</t>
        </is>
      </c>
      <c r="D46" s="3" t="inlineStr">
        <is>
          <t>420 - 500 ₽</t>
        </is>
      </c>
      <c r="E46" s="4" t="n">
        <v>350</v>
      </c>
      <c r="F46" s="4" t="n">
        <v>500</v>
      </c>
      <c r="G46" s="4" t="n">
        <v>450</v>
      </c>
      <c r="H46" s="7" t="n">
        <v>-0.02173913043478259</v>
      </c>
      <c r="I46" s="4" t="n"/>
      <c r="J46" s="3" t="n"/>
      <c r="K46" s="3" t="inlineStr">
        <is>
          <t>розница</t>
        </is>
      </c>
      <c r="L46" s="3" t="inlineStr">
        <is>
          <t>самовывоз</t>
        </is>
      </c>
      <c r="M46" s="3" t="inlineStr">
        <is>
          <t>shop.stromix.ru (Старатели/RB, пересчёт на 30 кг); Мастер Гарц в Хабаровске нет</t>
        </is>
      </c>
      <c r="N46" s="3" t="inlineStr">
        <is>
          <t>20.10.2026</t>
        </is>
      </c>
      <c r="O46" s="8" t="inlineStr">
        <is>
          <t>ДА</t>
        </is>
      </c>
      <c r="P46" s="3" t="inlineStr">
        <is>
          <t>В рынке</t>
        </is>
      </c>
    </row>
    <row r="47">
      <c r="A47" s="3" t="inlineStr">
        <is>
          <t>43</t>
        </is>
      </c>
      <c r="B47" s="3" t="inlineStr">
        <is>
          <t>Профнастил С8 0,45 RAL 6005, лист 1,2×2</t>
        </is>
      </c>
      <c r="C47" s="3" t="inlineStr">
        <is>
          <t>лист</t>
        </is>
      </c>
      <c r="D47" s="3" t="inlineStr">
        <is>
          <t>1 050 - 1 500 ₽</t>
        </is>
      </c>
      <c r="E47" s="4" t="n">
        <v>1080</v>
      </c>
      <c r="F47" s="4" t="n">
        <v>1500</v>
      </c>
      <c r="G47" s="4" t="n">
        <v>1250</v>
      </c>
      <c r="H47" s="7" t="n">
        <v>-0.01960784313725494</v>
      </c>
      <c r="I47" s="4" t="n"/>
      <c r="J47" s="3" t="n"/>
      <c r="K47" s="3" t="inlineStr">
        <is>
          <t>н/д</t>
        </is>
      </c>
      <c r="L47" s="3" t="inlineStr">
        <is>
          <t>не вкл.</t>
        </is>
      </c>
      <c r="M47" s="3" t="inlineStr">
        <is>
          <t>profil-dv.ru (449 ₽/м² → 1078); профнастил-дв.рф (1160); metallprofil Хабаровск (≈1495)</t>
        </is>
      </c>
      <c r="N47" s="3" t="inlineStr">
        <is>
          <t>20.10.2026</t>
        </is>
      </c>
      <c r="O47" s="3" t="inlineStr"/>
      <c r="P47" s="3" t="inlineStr">
        <is>
          <t>В рынке</t>
        </is>
      </c>
    </row>
    <row r="48">
      <c r="A48" s="3" t="inlineStr">
        <is>
          <t>44</t>
        </is>
      </c>
      <c r="B48" s="3" t="inlineStr">
        <is>
          <t>Бетон М300 с доставкой (М400 ≈ 8 630)</t>
        </is>
      </c>
      <c r="C48" s="3" t="inlineStr">
        <is>
          <t>м³</t>
        </is>
      </c>
      <c r="D48" s="3" t="inlineStr">
        <is>
          <t>5 900 - 7 800 ₽</t>
        </is>
      </c>
      <c r="E48" s="4" t="n">
        <v>7950</v>
      </c>
      <c r="F48" s="4" t="n">
        <v>9300</v>
      </c>
      <c r="G48" s="4" t="n">
        <v>8300</v>
      </c>
      <c r="H48" s="5" t="n">
        <v>0.2116788321167884</v>
      </c>
      <c r="I48" s="4" t="n"/>
      <c r="J48" s="3" t="n"/>
      <c r="K48" s="3" t="inlineStr">
        <is>
          <t>ДБС с НДС, прочие н/д</t>
        </is>
      </c>
      <c r="L48" s="3" t="inlineStr">
        <is>
          <t>+1000–1200 ₽/м³</t>
        </is>
      </c>
      <c r="M48" s="3" t="inlineStr">
        <is>
          <t>beton27khv.ru (6800/8000); beton27company.ru (6750/7950); beton-habarovsk.ru (7050); beton-khabarovsk.ru (9300)</t>
        </is>
      </c>
      <c r="N48" s="3" t="inlineStr">
        <is>
          <t>20.10.2026</t>
        </is>
      </c>
      <c r="O48" s="3" t="inlineStr"/>
      <c r="P48" s="3" t="inlineStr">
        <is>
          <t>Низ 5900 занижен; М400 верх занижен</t>
        </is>
      </c>
    </row>
    <row r="49">
      <c r="A49" s="3" t="inlineStr">
        <is>
          <t>44а</t>
        </is>
      </c>
      <c r="B49" s="3" t="inlineStr">
        <is>
          <t>Автобетононасос (в смете отсутствует)</t>
        </is>
      </c>
      <c r="C49" s="3" t="inlineStr">
        <is>
          <t>час</t>
        </is>
      </c>
      <c r="D49" s="3" t="inlineStr">
        <is>
          <t>— (нет в смете)</t>
        </is>
      </c>
      <c r="E49" s="4" t="n">
        <v>2500</v>
      </c>
      <c r="F49" s="4" t="n">
        <v>7500</v>
      </c>
      <c r="G49" s="4" t="n">
        <v>6000</v>
      </c>
      <c r="H49" s="3" t="n"/>
      <c r="I49" s="4" t="n"/>
      <c r="J49" s="3" t="n"/>
      <c r="K49" s="3" t="inlineStr">
        <is>
          <t>безнал с НДС</t>
        </is>
      </c>
      <c r="L49" s="3" t="inlineStr">
        <is>
          <t>мин 4–6 ч</t>
        </is>
      </c>
      <c r="M49" s="3" t="inlineStr">
        <is>
          <t>beton-habarovsk.ru (5200–7500); perevozka24 (1500–7000)</t>
        </is>
      </c>
      <c r="N49" s="3" t="inlineStr">
        <is>
          <t>20.10.2026</t>
        </is>
      </c>
      <c r="O49" s="3" t="inlineStr"/>
      <c r="P49" s="3" t="inlineStr">
        <is>
          <t>НЕТ В СМЕТЕ — добавить</t>
        </is>
      </c>
    </row>
    <row r="50">
      <c r="A50" s="3" t="inlineStr">
        <is>
          <t>45</t>
        </is>
      </c>
      <c r="B50" s="3" t="inlineStr">
        <is>
          <t>Поликарбонат сотовый 8 мм 2,1×6 (6 мм ≈5900, 10 мм ≈8900)</t>
        </is>
      </c>
      <c r="C50" s="3" t="inlineStr">
        <is>
          <t>лист</t>
        </is>
      </c>
      <c r="D50" s="3" t="inlineStr">
        <is>
          <t>4 200 - 13 500 ₽</t>
        </is>
      </c>
      <c r="E50" s="4" t="n">
        <v>4590</v>
      </c>
      <c r="F50" s="4" t="n">
        <v>10044</v>
      </c>
      <c r="G50" s="4" t="n">
        <v>7200</v>
      </c>
      <c r="H50" s="6" t="n">
        <v>-0.1864406779661016</v>
      </c>
      <c r="I50" s="4" t="n"/>
      <c r="J50" s="3" t="n"/>
      <c r="K50" s="3" t="inlineStr">
        <is>
          <t>ck.ru с НДС</t>
        </is>
      </c>
      <c r="L50" s="3" t="inlineStr">
        <is>
          <t>по городу</t>
        </is>
      </c>
      <c r="M50" s="3" t="inlineStr">
        <is>
          <t>ck.ru; profil-dv.ru; цос.рф; mega27.ru</t>
        </is>
      </c>
      <c r="N50" s="3" t="inlineStr">
        <is>
          <t>20.10.2026</t>
        </is>
      </c>
      <c r="O50" s="3" t="inlineStr"/>
      <c r="P50" s="3" t="inlineStr">
        <is>
          <t>Верх 13 500 завышен</t>
        </is>
      </c>
    </row>
    <row r="51">
      <c r="A51" s="3" t="inlineStr">
        <is>
          <t>46</t>
        </is>
      </c>
      <c r="B51" s="3" t="inlineStr">
        <is>
          <t>Брусчатка гранитная пиленая 200×100×60</t>
        </is>
      </c>
      <c r="C51" s="3" t="inlineStr">
        <is>
          <t>м²</t>
        </is>
      </c>
      <c r="D51" s="3" t="inlineStr">
        <is>
          <t>4 500 - 6 500 ₽</t>
        </is>
      </c>
      <c r="E51" s="4" t="n">
        <v>4000</v>
      </c>
      <c r="F51" s="4" t="n">
        <v>8500</v>
      </c>
      <c r="G51" s="4" t="n">
        <v>5500</v>
      </c>
      <c r="H51" s="7" t="n">
        <v>0</v>
      </c>
      <c r="I51" s="4" t="n"/>
      <c r="J51" s="3" t="n"/>
      <c r="K51" s="3" t="inlineStr">
        <is>
          <t>н/д</t>
        </is>
      </c>
      <c r="L51" s="3" t="inlineStr">
        <is>
          <t>в Хабаровск +1000–1600 (допущение)</t>
        </is>
      </c>
      <c r="M51" s="3" t="inlineStr">
        <is>
          <t>granite-bruschatka.ru (Хабаровск, от 2400 / 50 мм); rok.ooo; russiangranit.ru (6500–8500); колотая местная stone-dv.ru 2300–3400</t>
        </is>
      </c>
      <c r="N51" s="3" t="inlineStr">
        <is>
          <t>20.10.2026</t>
        </is>
      </c>
      <c r="O51" s="8" t="inlineStr">
        <is>
          <t>ДА</t>
        </is>
      </c>
      <c r="P51" s="3" t="inlineStr">
        <is>
          <t>В рынке без доставки; 60 мм в наличии в Хабаровске нет</t>
        </is>
      </c>
    </row>
    <row r="52">
      <c r="A52" s="3" t="inlineStr">
        <is>
          <t>47</t>
        </is>
      </c>
      <c r="B52" s="3" t="inlineStr">
        <is>
          <t>Труба ПНД гофра ø50 двустенная с зондом</t>
        </is>
      </c>
      <c r="C52" s="3" t="inlineStr">
        <is>
          <t>м</t>
        </is>
      </c>
      <c r="D52" s="3" t="inlineStr">
        <is>
          <t>100 - 180 ₽</t>
        </is>
      </c>
      <c r="E52" s="4" t="n">
        <v>90</v>
      </c>
      <c r="F52" s="4" t="n">
        <v>151</v>
      </c>
      <c r="G52" s="4" t="n">
        <v>130</v>
      </c>
      <c r="H52" s="7" t="n">
        <v>-0.0714285714285714</v>
      </c>
      <c r="I52" s="4" t="n"/>
      <c r="J52" s="3" t="n"/>
      <c r="K52" s="3" t="inlineStr">
        <is>
          <t>н/д</t>
        </is>
      </c>
      <c r="L52" s="3" t="inlineStr">
        <is>
          <t>по городу</t>
        </is>
      </c>
      <c r="M52" s="3" t="inlineStr">
        <is>
          <t>khv.energosf.ru (EKF 90, IEK 135–151, DKC 139); tinko (146)</t>
        </is>
      </c>
      <c r="N52" s="3" t="inlineStr">
        <is>
          <t>20.10.2026</t>
        </is>
      </c>
      <c r="O52" s="3" t="inlineStr"/>
      <c r="P52" s="3" t="inlineStr">
        <is>
          <t>В рынке (лёгкая 54 — не для грунта)</t>
        </is>
      </c>
    </row>
    <row r="53">
      <c r="A53" s="3" t="inlineStr">
        <is>
          <t>48</t>
        </is>
      </c>
      <c r="B53" s="3" t="inlineStr">
        <is>
          <t>Кабель ВВГнг(А)-LS 5×2,5</t>
        </is>
      </c>
      <c r="C53" s="3" t="inlineStr">
        <is>
          <t>м</t>
        </is>
      </c>
      <c r="D53" s="3" t="inlineStr">
        <is>
          <t>290 - 380 ₽</t>
        </is>
      </c>
      <c r="E53" s="4" t="n">
        <v>149</v>
      </c>
      <c r="F53" s="4" t="n">
        <v>300</v>
      </c>
      <c r="G53" s="4" t="n">
        <v>200</v>
      </c>
      <c r="H53" s="6" t="n">
        <v>-0.4029850746268657</v>
      </c>
      <c r="I53" s="4" t="n"/>
      <c r="J53" s="3" t="n"/>
      <c r="K53" s="3" t="inlineStr">
        <is>
          <t>н/д</t>
        </is>
      </c>
      <c r="L53" s="3" t="inlineStr">
        <is>
          <t>бесплатно от суммы</t>
        </is>
      </c>
      <c r="M53" s="3" t="inlineStr">
        <is>
          <t>электротовары-дв.рф (149/298); khv.energosf.ru (154–172); rs24 (168–222); etm (174)</t>
        </is>
      </c>
      <c r="N53" s="3" t="inlineStr">
        <is>
          <t>20.10.2026</t>
        </is>
      </c>
      <c r="O53" s="3" t="inlineStr"/>
      <c r="P53" s="3" t="inlineStr">
        <is>
          <t>ЗАВЫШЕНО ~в 1,5 раза</t>
        </is>
      </c>
    </row>
    <row r="54">
      <c r="A54" s="3" t="inlineStr">
        <is>
          <t>49</t>
        </is>
      </c>
      <c r="B54" s="3" t="inlineStr">
        <is>
          <t>Кабель ВВГнг(А)-LS 5×4</t>
        </is>
      </c>
      <c r="C54" s="3" t="inlineStr">
        <is>
          <t>м</t>
        </is>
      </c>
      <c r="D54" s="3" t="inlineStr">
        <is>
          <t>400 - 520 ₽</t>
        </is>
      </c>
      <c r="E54" s="4" t="n">
        <v>310</v>
      </c>
      <c r="F54" s="4" t="n">
        <v>395</v>
      </c>
      <c r="G54" s="4" t="n">
        <v>370</v>
      </c>
      <c r="H54" s="6" t="n">
        <v>-0.1956521739130435</v>
      </c>
      <c r="I54" s="4" t="n"/>
      <c r="J54" s="3" t="n"/>
      <c r="K54" s="3" t="inlineStr">
        <is>
          <t>н/д</t>
        </is>
      </c>
      <c r="L54" s="3" t="inlineStr">
        <is>
          <t>—</t>
        </is>
      </c>
      <c r="M54" s="3" t="inlineStr">
        <is>
          <t>khv.energosf.ru (368–394); rs24 (387); e-kc.ru (391–395)</t>
        </is>
      </c>
      <c r="N54" s="3" t="inlineStr">
        <is>
          <t>20.10.2026</t>
        </is>
      </c>
      <c r="O54" s="3" t="inlineStr"/>
      <c r="P54" s="3" t="inlineStr">
        <is>
          <t>Завышено на 15–25%</t>
        </is>
      </c>
    </row>
    <row r="55">
      <c r="A55" s="3" t="inlineStr">
        <is>
          <t>50</t>
        </is>
      </c>
      <c r="B55" s="3" t="inlineStr">
        <is>
          <t>Кабель ВВГнг(А)-LS 5×16 (наружка: ВБШв ~1050–1760, АВБШв 256–298)</t>
        </is>
      </c>
      <c r="C55" s="3" t="inlineStr">
        <is>
          <t>м</t>
        </is>
      </c>
      <c r="D55" s="3" t="inlineStr">
        <is>
          <t>950 - 1 200 ₽</t>
        </is>
      </c>
      <c r="E55" s="4" t="n">
        <v>970</v>
      </c>
      <c r="F55" s="4" t="n">
        <v>1503</v>
      </c>
      <c r="G55" s="4" t="n">
        <v>1430</v>
      </c>
      <c r="H55" s="5" t="n">
        <v>0.3302325581395349</v>
      </c>
      <c r="I55" s="4" t="n"/>
      <c r="J55" s="3" t="n"/>
      <c r="K55" s="3" t="inlineStr">
        <is>
          <t>н/д</t>
        </is>
      </c>
      <c r="L55" s="3" t="inlineStr">
        <is>
          <t>—</t>
        </is>
      </c>
      <c r="M55" s="3" t="inlineStr">
        <is>
          <t>khv.energosf.ru (1428); rs24 (969–1174); e-kc.ru (1493–1503); virage24 (1291–1391)</t>
        </is>
      </c>
      <c r="N55" s="3" t="inlineStr">
        <is>
          <t>20.10.2026</t>
        </is>
      </c>
      <c r="O55" s="3" t="inlineStr"/>
      <c r="P55" s="3" t="inlineStr">
        <is>
          <t>ЗАНИЖЕНО (реально 1400–1500)</t>
        </is>
      </c>
    </row>
    <row r="56">
      <c r="A56" s="2" t="inlineStr">
        <is>
          <t>ЛОГИСТИКА МОСКВА → ХАБАРОВСК</t>
        </is>
      </c>
    </row>
    <row r="57">
      <c r="A57" s="3" t="inlineStr">
        <is>
          <t>51</t>
        </is>
      </c>
      <c r="B57" s="3" t="inlineStr">
        <is>
          <t>Фура 20 т (тент 82–96 м³), отдельная машина</t>
        </is>
      </c>
      <c r="C57" s="3" t="inlineStr">
        <is>
          <t>рейс</t>
        </is>
      </c>
      <c r="D57" s="3" t="inlineStr">
        <is>
          <t>-</t>
        </is>
      </c>
      <c r="E57" s="4" t="n">
        <v>593568</v>
      </c>
      <c r="F57" s="4" t="n">
        <v>962200</v>
      </c>
      <c r="G57" s="4" t="n">
        <v>780000</v>
      </c>
      <c r="H57" s="3" t="n"/>
      <c r="I57" s="4" t="n"/>
      <c r="J57" s="3" t="n"/>
      <c r="K57" s="3" t="inlineStr">
        <is>
          <t>Балтрейлер без НДС 788 690</t>
        </is>
      </c>
      <c r="L57" s="3" t="inlineStr">
        <is>
          <t>10–14 сут</t>
        </is>
      </c>
      <c r="M57" s="3" t="inlineStr">
        <is>
          <t>baltrail.ru (788 690 без НДС, тариф 01.08.2026); rustransit77 (593 568); ПЭК сборный 60,4 ₽/кг (20 т ≈1,21 млн)</t>
        </is>
      </c>
      <c r="N57" s="3" t="inlineStr">
        <is>
          <t>20.10.2026</t>
        </is>
      </c>
      <c r="O57" s="3" t="inlineStr"/>
      <c r="P57" s="3" t="inlineStr">
        <is>
          <t>В смете цены не было</t>
        </is>
      </c>
    </row>
    <row r="58">
      <c r="A58" s="3" t="inlineStr">
        <is>
          <t>52</t>
        </is>
      </c>
      <c r="B58" s="3" t="inlineStr">
        <is>
          <t>ЖД-контейнер 40 фут дверь-дверь (20 фут ≈ 225 тыс., до 18 т)</t>
        </is>
      </c>
      <c r="C58" s="3" t="inlineStr">
        <is>
          <t>конт.</t>
        </is>
      </c>
      <c r="D58" s="3" t="inlineStr">
        <is>
          <t>-</t>
        </is>
      </c>
      <c r="E58" s="4" t="n">
        <v>215000</v>
      </c>
      <c r="F58" s="4" t="n">
        <v>300850</v>
      </c>
      <c r="G58" s="4" t="n">
        <v>300850</v>
      </c>
      <c r="H58" s="3" t="n"/>
      <c r="I58" s="4" t="n"/>
      <c r="J58" s="3" t="n"/>
      <c r="K58" s="3" t="inlineStr">
        <is>
          <t>с НДС 22% (Contoperator)</t>
        </is>
      </c>
      <c r="L58" s="3" t="inlineStr">
        <is>
          <t>25–30 сут</t>
        </is>
      </c>
      <c r="M58" s="3" t="inlineStr">
        <is>
          <t>contoperator.ru прайс с 01.07.2026 (20 фут 224 950; 40 фут 300 850 с НДС); tablogix (190 000 без НДС); rzdu.ru (от 198 000)</t>
        </is>
      </c>
      <c r="N58" s="3" t="inlineStr">
        <is>
          <t>20.10.2026</t>
        </is>
      </c>
      <c r="O58" s="3" t="inlineStr"/>
      <c r="P58" s="3" t="inlineStr">
        <is>
          <t>В смете цены не было</t>
        </is>
      </c>
    </row>
    <row r="59">
      <c r="A59" s="2" t="inlineStr">
        <is>
          <t>ПЕРСОНАЛ (₽/мес «на руки», город; работодателю ×1,50)</t>
        </is>
      </c>
    </row>
    <row r="60">
      <c r="A60" s="3" t="inlineStr">
        <is>
          <t>53</t>
        </is>
      </c>
      <c r="B60" s="3" t="inlineStr">
        <is>
          <t>Разнорабочий (благоустройство)</t>
        </is>
      </c>
      <c r="C60" s="3" t="inlineStr">
        <is>
          <t>чел·мес</t>
        </is>
      </c>
      <c r="D60" s="3" t="inlineStr">
        <is>
          <t>85 000 - 150 000 ₽</t>
        </is>
      </c>
      <c r="E60" s="4" t="n">
        <v>75000</v>
      </c>
      <c r="F60" s="4" t="n">
        <v>120000</v>
      </c>
      <c r="G60" s="4" t="n">
        <v>90000</v>
      </c>
      <c r="H60" s="6" t="n">
        <v>-0.2340425531914894</v>
      </c>
      <c r="I60" s="4" t="n"/>
      <c r="J60" s="3" t="n"/>
      <c r="K60" s="3" t="inlineStr">
        <is>
          <t>на руки</t>
        </is>
      </c>
      <c r="L60" s="3" t="inlineStr">
        <is>
          <t>—</t>
        </is>
      </c>
      <c r="M60" s="3" t="inlineStr">
        <is>
          <t>hh.ru area=102, 20.10.2026 (130 вак.); trudvsem.ru (22 вак., 50–100 до вычета)</t>
        </is>
      </c>
      <c r="N60" s="3" t="inlineStr">
        <is>
          <t>20.10.2026</t>
        </is>
      </c>
      <c r="O60" s="3" t="inlineStr"/>
      <c r="P60" s="3" t="inlineStr">
        <is>
          <t>Верх 150 — вахта</t>
        </is>
      </c>
    </row>
    <row r="61">
      <c r="A61" s="3" t="inlineStr">
        <is>
          <t>54</t>
        </is>
      </c>
      <c r="B61" s="3" t="inlineStr">
        <is>
          <t>Водитель кат. C, E</t>
        </is>
      </c>
      <c r="C61" s="3" t="inlineStr">
        <is>
          <t>чел·мес</t>
        </is>
      </c>
      <c r="D61" s="3" t="inlineStr">
        <is>
          <t>115 000 - 250 000 ₽</t>
        </is>
      </c>
      <c r="E61" s="4" t="n">
        <v>110000</v>
      </c>
      <c r="F61" s="4" t="n">
        <v>230000</v>
      </c>
      <c r="G61" s="4" t="n">
        <v>160000</v>
      </c>
      <c r="H61" s="7" t="n">
        <v>-0.1232876712328768</v>
      </c>
      <c r="I61" s="4" t="n"/>
      <c r="J61" s="3" t="n"/>
      <c r="K61" s="3" t="inlineStr">
        <is>
          <t>на руки</t>
        </is>
      </c>
      <c r="L61" s="3" t="inlineStr">
        <is>
          <t>—</t>
        </is>
      </c>
      <c r="M61" s="3" t="inlineStr">
        <is>
          <t>hh.ru (13 вак.); trudvsem (47–120 до вычета)</t>
        </is>
      </c>
      <c r="N61" s="3" t="inlineStr">
        <is>
          <t>20.10.2026</t>
        </is>
      </c>
      <c r="O61" s="3" t="inlineStr"/>
      <c r="P61" s="3" t="inlineStr">
        <is>
          <t>В рынке</t>
        </is>
      </c>
    </row>
    <row r="62">
      <c r="A62" s="3" t="inlineStr">
        <is>
          <t>55</t>
        </is>
      </c>
      <c r="B62" s="3" t="inlineStr">
        <is>
          <t>Тракторист/машинист</t>
        </is>
      </c>
      <c r="C62" s="3" t="inlineStr">
        <is>
          <t>чел·мес</t>
        </is>
      </c>
      <c r="D62" s="3" t="inlineStr">
        <is>
          <t>100 000 - 250 000 ₽</t>
        </is>
      </c>
      <c r="E62" s="4" t="n">
        <v>110000</v>
      </c>
      <c r="F62" s="4" t="n">
        <v>150000</v>
      </c>
      <c r="G62" s="4" t="n">
        <v>120000</v>
      </c>
      <c r="H62" s="6" t="n">
        <v>-0.3142857142857143</v>
      </c>
      <c r="I62" s="4" t="n"/>
      <c r="J62" s="3" t="n"/>
      <c r="K62" s="3" t="inlineStr">
        <is>
          <t>на руки</t>
        </is>
      </c>
      <c r="L62" s="3" t="inlineStr">
        <is>
          <t>—</t>
        </is>
      </c>
      <c r="M62" s="3" t="inlineStr">
        <is>
          <t>hh.ru (187, в т.ч. вахты 210–280); trudvsem</t>
        </is>
      </c>
      <c r="N62" s="3" t="inlineStr">
        <is>
          <t>20.10.2026</t>
        </is>
      </c>
      <c r="O62" s="3" t="inlineStr"/>
      <c r="P62" s="3" t="inlineStr">
        <is>
          <t>Верх 250 — вахта</t>
        </is>
      </c>
    </row>
    <row r="63">
      <c r="A63" s="3" t="inlineStr">
        <is>
          <t>56</t>
        </is>
      </c>
      <c r="B63" s="3" t="inlineStr">
        <is>
          <t>Сварщик</t>
        </is>
      </c>
      <c r="C63" s="3" t="inlineStr">
        <is>
          <t>чел·мес</t>
        </is>
      </c>
      <c r="D63" s="3" t="inlineStr">
        <is>
          <t>150 000 - 310 000 ₽</t>
        </is>
      </c>
      <c r="E63" s="4" t="n">
        <v>70000</v>
      </c>
      <c r="F63" s="4" t="n">
        <v>150000</v>
      </c>
      <c r="G63" s="4" t="n">
        <v>120000</v>
      </c>
      <c r="H63" s="6" t="n">
        <v>-0.4782608695652174</v>
      </c>
      <c r="I63" s="4" t="n"/>
      <c r="J63" s="3" t="n"/>
      <c r="K63" s="3" t="inlineStr">
        <is>
          <t>на руки</t>
        </is>
      </c>
      <c r="L63" s="3" t="inlineStr">
        <is>
          <t>—</t>
        </is>
      </c>
      <c r="M63" s="3" t="inlineStr">
        <is>
          <t>hh.ru (123 вак.); trudvsem (город 50–140 до вычета)</t>
        </is>
      </c>
      <c r="N63" s="3" t="inlineStr">
        <is>
          <t>20.10.2026</t>
        </is>
      </c>
      <c r="O63" s="3" t="inlineStr"/>
      <c r="P63" s="3" t="inlineStr">
        <is>
          <t>ЗАВЫШЕНО для города (310 — вахта+НАКС)</t>
        </is>
      </c>
    </row>
    <row r="64">
      <c r="A64" s="3" t="inlineStr">
        <is>
          <t>57</t>
        </is>
      </c>
      <c r="B64" s="3" t="inlineStr">
        <is>
          <t>Строитель/укладчик плитки и бордюра</t>
        </is>
      </c>
      <c r="C64" s="3" t="inlineStr">
        <is>
          <t>чел·мес</t>
        </is>
      </c>
      <c r="D64" s="3" t="inlineStr">
        <is>
          <t>100 000 - 180 000 ₽</t>
        </is>
      </c>
      <c r="E64" s="4" t="n">
        <v>100000</v>
      </c>
      <c r="F64" s="4" t="n">
        <v>160000</v>
      </c>
      <c r="G64" s="4" t="n">
        <v>125000</v>
      </c>
      <c r="H64" s="7" t="n">
        <v>-0.1071428571428571</v>
      </c>
      <c r="I64" s="4" t="n"/>
      <c r="J64" s="3" t="n"/>
      <c r="K64" s="3" t="inlineStr">
        <is>
          <t>на руки</t>
        </is>
      </c>
      <c r="L64" s="3" t="inlineStr">
        <is>
          <t>—</t>
        </is>
      </c>
      <c r="M64" s="3" t="inlineStr">
        <is>
          <t>hh.ru (5–40 вак., мало данных)</t>
        </is>
      </c>
      <c r="N64" s="3" t="inlineStr">
        <is>
          <t>20.10.2026</t>
        </is>
      </c>
      <c r="O64" s="8" t="inlineStr">
        <is>
          <t>ДА</t>
        </is>
      </c>
      <c r="P64" s="3" t="inlineStr">
        <is>
          <t>В рынке</t>
        </is>
      </c>
    </row>
    <row r="65">
      <c r="A65" s="3" t="inlineStr">
        <is>
          <t>58</t>
        </is>
      </c>
      <c r="B65" s="3" t="inlineStr">
        <is>
          <t>Начальник участка/прораб</t>
        </is>
      </c>
      <c r="C65" s="3" t="inlineStr">
        <is>
          <t>чел·мес</t>
        </is>
      </c>
      <c r="D65" s="3" t="inlineStr">
        <is>
          <t>180 000 - 300 000 ₽</t>
        </is>
      </c>
      <c r="E65" s="4" t="n">
        <v>100000</v>
      </c>
      <c r="F65" s="4" t="n">
        <v>210000</v>
      </c>
      <c r="G65" s="4" t="n">
        <v>140000</v>
      </c>
      <c r="H65" s="6" t="n">
        <v>-0.4166666666666666</v>
      </c>
      <c r="I65" s="4" t="n"/>
      <c r="J65" s="3" t="n"/>
      <c r="K65" s="3" t="inlineStr">
        <is>
          <t>на руки</t>
        </is>
      </c>
      <c r="L65" s="3" t="inlineStr">
        <is>
          <t>—</t>
        </is>
      </c>
      <c r="M65" s="3" t="inlineStr">
        <is>
          <t>hh.ru (69–82 вак.); trudvsem (100–120)</t>
        </is>
      </c>
      <c r="N65" s="3" t="inlineStr">
        <is>
          <t>20.10.2026</t>
        </is>
      </c>
      <c r="O65" s="3" t="inlineStr"/>
      <c r="P65" s="3" t="inlineStr">
        <is>
          <t>ЗАВЫШЕНО для города</t>
        </is>
      </c>
    </row>
    <row r="66">
      <c r="A66" s="3" t="inlineStr">
        <is>
          <t>59</t>
        </is>
      </c>
      <c r="B66" s="3" t="inlineStr">
        <is>
          <t>Кладовщик</t>
        </is>
      </c>
      <c r="C66" s="3" t="inlineStr">
        <is>
          <t>чел·мес</t>
        </is>
      </c>
      <c r="D66" s="3" t="inlineStr">
        <is>
          <t>80 000 - 120 000 ₽</t>
        </is>
      </c>
      <c r="E66" s="4" t="n">
        <v>65000</v>
      </c>
      <c r="F66" s="4" t="n">
        <v>160000</v>
      </c>
      <c r="G66" s="4" t="n">
        <v>100000</v>
      </c>
      <c r="H66" s="7" t="n">
        <v>0</v>
      </c>
      <c r="I66" s="4" t="n"/>
      <c r="J66" s="3" t="n"/>
      <c r="K66" s="3" t="inlineStr">
        <is>
          <t>на руки</t>
        </is>
      </c>
      <c r="L66" s="3" t="inlineStr">
        <is>
          <t>—</t>
        </is>
      </c>
      <c r="M66" s="3" t="inlineStr">
        <is>
          <t>hh.ru (327); trudvsem (80, медиана 54–65 до вычета)</t>
        </is>
      </c>
      <c r="N66" s="3" t="inlineStr">
        <is>
          <t>20.10.2026</t>
        </is>
      </c>
      <c r="O66" s="3" t="inlineStr"/>
      <c r="P66" s="3" t="inlineStr">
        <is>
          <t>В рынке</t>
        </is>
      </c>
    </row>
    <row r="67">
      <c r="A67" s="3" t="inlineStr">
        <is>
          <t>60</t>
        </is>
      </c>
      <c r="B67" s="3" t="inlineStr">
        <is>
          <t>Электрик (сети до 0,4 кВ)</t>
        </is>
      </c>
      <c r="C67" s="3" t="inlineStr">
        <is>
          <t>чел·мес</t>
        </is>
      </c>
      <c r="D67" s="3" t="inlineStr">
        <is>
          <t>110 000 - 180 000 ₽</t>
        </is>
      </c>
      <c r="E67" s="4" t="n">
        <v>60000</v>
      </c>
      <c r="F67" s="4" t="n">
        <v>165000</v>
      </c>
      <c r="G67" s="4" t="n">
        <v>105000</v>
      </c>
      <c r="H67" s="6" t="n">
        <v>-0.2758620689655172</v>
      </c>
      <c r="I67" s="4" t="n"/>
      <c r="J67" s="3" t="n"/>
      <c r="K67" s="3" t="inlineStr">
        <is>
          <t>на руки</t>
        </is>
      </c>
      <c r="L67" s="3" t="inlineStr">
        <is>
          <t>—</t>
        </is>
      </c>
      <c r="M67" s="3" t="inlineStr">
        <is>
          <t>hh.ru (275); trudvsem (173)</t>
        </is>
      </c>
      <c r="N67" s="3" t="inlineStr">
        <is>
          <t>20.10.2026</t>
        </is>
      </c>
      <c r="O67" s="3" t="inlineStr"/>
      <c r="P67" s="3" t="inlineStr">
        <is>
          <t>Слегка завышено</t>
        </is>
      </c>
    </row>
    <row r="68">
      <c r="A68" s="3" t="inlineStr">
        <is>
          <t>61</t>
        </is>
      </c>
      <c r="B68" s="3" t="inlineStr">
        <is>
          <t>Монтажник конструкций</t>
        </is>
      </c>
      <c r="C68" s="3" t="inlineStr">
        <is>
          <t>чел·мес</t>
        </is>
      </c>
      <c r="D68" s="3" t="inlineStr">
        <is>
          <t>100 000 - 160 000 ₽</t>
        </is>
      </c>
      <c r="E68" s="4" t="n">
        <v>100000</v>
      </c>
      <c r="F68" s="4" t="n">
        <v>150000</v>
      </c>
      <c r="G68" s="4" t="n">
        <v>120000</v>
      </c>
      <c r="H68" s="7" t="n">
        <v>-0.07692307692307687</v>
      </c>
      <c r="I68" s="4" t="n"/>
      <c r="J68" s="3" t="n"/>
      <c r="K68" s="3" t="inlineStr">
        <is>
          <t>на руки</t>
        </is>
      </c>
      <c r="L68" s="3" t="inlineStr">
        <is>
          <t>—</t>
        </is>
      </c>
      <c r="M68" s="3" t="inlineStr">
        <is>
          <t>hh.ru (34); trudvsem (36)</t>
        </is>
      </c>
      <c r="N68" s="3" t="inlineStr">
        <is>
          <t>20.10.2026</t>
        </is>
      </c>
      <c r="O68" s="3" t="inlineStr"/>
      <c r="P68" s="3" t="inlineStr">
        <is>
          <t>В рынке</t>
        </is>
      </c>
    </row>
    <row r="69">
      <c r="A69" s="3" t="inlineStr">
        <is>
          <t>62</t>
        </is>
      </c>
      <c r="B69" s="3" t="inlineStr">
        <is>
          <t>Бетонщик</t>
        </is>
      </c>
      <c r="C69" s="3" t="inlineStr">
        <is>
          <t>чел·мес</t>
        </is>
      </c>
      <c r="D69" s="3" t="inlineStr">
        <is>
          <t>100 000 - 150 000 ₽</t>
        </is>
      </c>
      <c r="E69" s="4" t="n">
        <v>100000</v>
      </c>
      <c r="F69" s="4" t="n">
        <v>120000</v>
      </c>
      <c r="G69" s="4" t="n">
        <v>110000</v>
      </c>
      <c r="H69" s="7" t="n">
        <v>-0.12</v>
      </c>
      <c r="I69" s="4" t="n"/>
      <c r="J69" s="3" t="n"/>
      <c r="K69" s="3" t="inlineStr">
        <is>
          <t>на руки</t>
        </is>
      </c>
      <c r="L69" s="3" t="inlineStr">
        <is>
          <t>—</t>
        </is>
      </c>
      <c r="M69" s="3" t="inlineStr">
        <is>
          <t>hh.ru (26, из них 16 вахта)</t>
        </is>
      </c>
      <c r="N69" s="3" t="inlineStr">
        <is>
          <t>20.10.2026</t>
        </is>
      </c>
      <c r="O69" s="3" t="inlineStr"/>
      <c r="P69" s="3" t="inlineStr">
        <is>
          <t>В рынке</t>
        </is>
      </c>
    </row>
    <row r="70">
      <c r="A70" s="3" t="inlineStr">
        <is>
          <t>63</t>
        </is>
      </c>
      <c r="B70" s="3" t="inlineStr">
        <is>
          <t>Штукатур-маляр (фасады)</t>
        </is>
      </c>
      <c r="C70" s="3" t="inlineStr">
        <is>
          <t>чел·мес</t>
        </is>
      </c>
      <c r="D70" s="3" t="inlineStr">
        <is>
          <t>80 000 - 150 000 ₽</t>
        </is>
      </c>
      <c r="E70" s="4" t="n">
        <v>55000</v>
      </c>
      <c r="F70" s="4" t="n">
        <v>150000</v>
      </c>
      <c r="G70" s="4" t="n">
        <v>95000</v>
      </c>
      <c r="H70" s="6" t="n">
        <v>-0.1739130434782609</v>
      </c>
      <c r="I70" s="4" t="n"/>
      <c r="J70" s="3" t="n"/>
      <c r="K70" s="3" t="inlineStr">
        <is>
          <t>на руки</t>
        </is>
      </c>
      <c r="L70" s="3" t="inlineStr">
        <is>
          <t>—</t>
        </is>
      </c>
      <c r="M70" s="3" t="inlineStr">
        <is>
          <t>hh.ru (22); trudvsem (17)</t>
        </is>
      </c>
      <c r="N70" s="3" t="inlineStr">
        <is>
          <t>20.10.2026</t>
        </is>
      </c>
      <c r="O70" s="3" t="inlineStr"/>
      <c r="P70" s="3" t="inlineStr">
        <is>
          <t>В рынке</t>
        </is>
      </c>
    </row>
    <row r="71">
      <c r="A71" s="2" t="inlineStr">
        <is>
          <t>АРЕНДА ЖИЛЬЯ И ОФИСОВ</t>
        </is>
      </c>
    </row>
    <row r="72">
      <c r="A72" s="3" t="inlineStr">
        <is>
          <t>64</t>
        </is>
      </c>
      <c r="B72" s="3" t="inlineStr">
        <is>
          <t>Квартира 1-комн., центр</t>
        </is>
      </c>
      <c r="C72" s="3" t="inlineStr">
        <is>
          <t>мес</t>
        </is>
      </c>
      <c r="D72" s="3" t="inlineStr">
        <is>
          <t>35 000 - 65 000 ₽</t>
        </is>
      </c>
      <c r="E72" s="4" t="n">
        <v>33000</v>
      </c>
      <c r="F72" s="4" t="n">
        <v>72000</v>
      </c>
      <c r="G72" s="4" t="n">
        <v>47000</v>
      </c>
      <c r="H72" s="7" t="n">
        <v>-0.06000000000000005</v>
      </c>
      <c r="I72" s="4" t="n"/>
      <c r="J72" s="3" t="n"/>
      <c r="K72" s="3" t="inlineStr">
        <is>
          <t>физлица без НДС</t>
        </is>
      </c>
      <c r="L72" s="3" t="inlineStr">
        <is>
          <t>комиссия 50–60% + залог 15–20 тыс., КУ 3–6 тыс.</t>
        </is>
      </c>
      <c r="M72" s="3" t="inlineStr">
        <is>
          <t>realty.yandex.ru Центральный р-н (19 объявл.); mirkvartir (807 объявл., ср. 41 213); cian (24 объявл., от 32,7 тыс.)</t>
        </is>
      </c>
      <c r="N72" s="3" t="inlineStr">
        <is>
          <t>20.10.2026</t>
        </is>
      </c>
      <c r="O72" s="3" t="inlineStr"/>
      <c r="P72" s="3" t="inlineStr">
        <is>
          <t>В рынке; верх чуть занижен</t>
        </is>
      </c>
    </row>
    <row r="73">
      <c r="A73" s="3" t="inlineStr">
        <is>
          <t>65</t>
        </is>
      </c>
      <c r="B73" s="3" t="inlineStr">
        <is>
          <t>Офис ~20 м², центр (≈1350 ₽/м²)</t>
        </is>
      </c>
      <c r="C73" s="3" t="inlineStr">
        <is>
          <t>мес</t>
        </is>
      </c>
      <c r="D73" s="3" t="inlineStr">
        <is>
          <t>20 000 - 30 000 ₽</t>
        </is>
      </c>
      <c r="E73" s="4" t="n">
        <v>14400</v>
      </c>
      <c r="F73" s="4" t="n">
        <v>49900</v>
      </c>
      <c r="G73" s="4" t="n">
        <v>27000</v>
      </c>
      <c r="H73" s="7" t="n">
        <v>0.08000000000000007</v>
      </c>
      <c r="I73" s="4" t="n"/>
      <c r="J73" s="3" t="n"/>
      <c r="K73" s="3" t="inlineStr">
        <is>
          <t>не указан</t>
        </is>
      </c>
      <c r="L73" s="3" t="inlineStr">
        <is>
          <t>КУ сверху</t>
        </is>
      </c>
      <c r="M73" s="3" t="inlineStr">
        <is>
          <t>realty.yandex.ru (20 из 23 объявл.; Центр 69 объявл. 1000–2100 ₽/м²); mirkvartir</t>
        </is>
      </c>
      <c r="N73" s="3" t="inlineStr">
        <is>
          <t>20.10.2026</t>
        </is>
      </c>
      <c r="O73" s="3" t="inlineStr"/>
      <c r="P73" s="3" t="inlineStr">
        <is>
          <t>В рынке</t>
        </is>
      </c>
    </row>
    <row r="74">
      <c r="A74" s="3" t="inlineStr">
        <is>
          <t>66</t>
        </is>
      </c>
      <c r="B74" s="3" t="inlineStr">
        <is>
          <t>Хостел, койко-место</t>
        </is>
      </c>
      <c r="C74" s="3" t="inlineStr">
        <is>
          <t>сутки</t>
        </is>
      </c>
      <c r="D74" s="3" t="inlineStr">
        <is>
          <t>1 500 - 3 000 ₽</t>
        </is>
      </c>
      <c r="E74" s="4" t="n">
        <v>1200</v>
      </c>
      <c r="F74" s="4" t="n">
        <v>1800</v>
      </c>
      <c r="G74" s="4" t="n">
        <v>1500</v>
      </c>
      <c r="H74" s="6" t="n">
        <v>-0.3333333333333334</v>
      </c>
      <c r="I74" s="4" t="n"/>
      <c r="J74" s="3" t="n"/>
      <c r="K74" s="3" t="inlineStr">
        <is>
          <t>вкл.</t>
        </is>
      </c>
      <c r="L74" s="3" t="inlineStr">
        <is>
          <t>—</t>
        </is>
      </c>
      <c r="M74" s="3" t="inlineStr">
        <is>
          <t>habarovsk.sutochno.ru (12 койко-мест 1200–1800); 101hotels; ostrovok</t>
        </is>
      </c>
      <c r="N74" s="3" t="inlineStr">
        <is>
          <t>20.10.2026</t>
        </is>
      </c>
      <c r="O74" s="3" t="inlineStr"/>
      <c r="P74" s="3" t="inlineStr">
        <is>
          <t>Верх 3000 ЗАВЫШЕН</t>
        </is>
      </c>
    </row>
    <row r="75">
      <c r="A75" s="3" t="inlineStr">
        <is>
          <t>66а</t>
        </is>
      </c>
      <c r="B75" s="3" t="inlineStr">
        <is>
          <t>Рабочее общежитие (в смете нет)</t>
        </is>
      </c>
      <c r="C75" s="3" t="inlineStr">
        <is>
          <t>чел·мес</t>
        </is>
      </c>
      <c r="D75" s="3" t="inlineStr">
        <is>
          <t>— (нет в смете)</t>
        </is>
      </c>
      <c r="E75" s="4" t="n">
        <v>9000</v>
      </c>
      <c r="F75" s="4" t="n">
        <v>15000</v>
      </c>
      <c r="G75" s="4" t="n">
        <v>12000</v>
      </c>
      <c r="H75" s="3" t="n"/>
      <c r="I75" s="4" t="n"/>
      <c r="J75" s="3" t="n"/>
      <c r="K75" s="3" t="inlineStr">
        <is>
          <t>с НДС</t>
        </is>
      </c>
      <c r="L75" s="3" t="inlineStr">
        <is>
          <t>КУ вкл.</t>
        </is>
      </c>
      <c r="M75" s="3" t="inlineStr">
        <is>
          <t>hoster27.ru «Хостер», ул. Суворова 82А (300–500 ₽/сут)</t>
        </is>
      </c>
      <c r="N75" s="3" t="inlineStr">
        <is>
          <t>20.10.2026</t>
        </is>
      </c>
      <c r="O75" s="3" t="inlineStr"/>
      <c r="P75" s="3" t="inlineStr">
        <is>
          <t>Добавить как основной вариант</t>
        </is>
      </c>
    </row>
    <row r="76">
      <c r="A76" s="3" t="inlineStr">
        <is>
          <t>67</t>
        </is>
      </c>
      <c r="B76" s="3" t="inlineStr">
        <is>
          <t>Гостиница 3*, стандарт</t>
        </is>
      </c>
      <c r="C76" s="3" t="inlineStr">
        <is>
          <t>сутки</t>
        </is>
      </c>
      <c r="D76" s="3" t="inlineStr">
        <is>
          <t>2 500 - 5 000 ₽</t>
        </is>
      </c>
      <c r="E76" s="4" t="n">
        <v>2200</v>
      </c>
      <c r="F76" s="4" t="n">
        <v>7300</v>
      </c>
      <c r="G76" s="4" t="n">
        <v>4500</v>
      </c>
      <c r="H76" s="5" t="n">
        <v>0.2</v>
      </c>
      <c r="I76" s="4" t="n"/>
      <c r="J76" s="3" t="n"/>
      <c r="K76" s="3" t="inlineStr">
        <is>
          <t>обычно вкл.</t>
        </is>
      </c>
      <c r="L76" s="3" t="inlineStr">
        <is>
          <t>завтрак не всегда</t>
        </is>
      </c>
      <c r="M76" s="3" t="inlineStr">
        <is>
          <t>putevka.com (22 отеля, медиана 4174); 101hotels (19, медиана 4700); ostrovok (от 3800)</t>
        </is>
      </c>
      <c r="N76" s="3" t="inlineStr">
        <is>
          <t>20.10.2026</t>
        </is>
      </c>
      <c r="O76" s="3" t="inlineStr"/>
      <c r="P76" s="3" t="inlineStr">
        <is>
          <t>Верх 5000 занижен</t>
        </is>
      </c>
    </row>
  </sheetData>
  <autoFilter ref="A1:P76"/>
  <mergeCells count="6">
    <mergeCell ref="A56:P56"/>
    <mergeCell ref="A27:P27"/>
    <mergeCell ref="A71:P71"/>
    <mergeCell ref="A20:P20"/>
    <mergeCell ref="A59:P59"/>
    <mergeCell ref="A2:P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91"/>
  <sheetViews>
    <sheetView workbookViewId="0">
      <pane xSplit="3" ySplit="1" topLeftCell="D2" activePane="bottomRight" state="frozen"/>
      <selection pane="topRight"/>
      <selection pane="bottomLeft"/>
      <selection pane="bottom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46" customWidth="1" min="2" max="2"/>
    <col width="9" customWidth="1" min="3" max="3"/>
    <col width="14" customWidth="1" min="4" max="4"/>
    <col width="32" customWidth="1" min="5" max="5"/>
    <col width="14" customWidth="1" min="6" max="6"/>
    <col width="12" customWidth="1" min="7" max="7"/>
    <col width="16" customWidth="1" min="8" max="8"/>
    <col width="16" customWidth="1" min="9" max="9"/>
    <col width="16" customWidth="1" min="10" max="10"/>
  </cols>
  <sheetData>
    <row r="1" ht="45" customHeight="1">
      <c r="A1" s="1" t="inlineStr">
        <is>
          <t>№</t>
        </is>
      </c>
      <c r="B1" s="1" t="inlineStr">
        <is>
          <t>Позиция</t>
        </is>
      </c>
      <c r="C1" s="1" t="inlineStr">
        <is>
          <t>Ед.</t>
        </is>
      </c>
      <c r="D1" s="1" t="inlineStr">
        <is>
          <t>Кол-во (ДОПУЩЕНИЕ — замените своим)</t>
        </is>
      </c>
      <c r="E1" s="1" t="inlineStr">
        <is>
          <t>Основание объёма</t>
        </is>
      </c>
      <c r="F1" s="1" t="inlineStr">
        <is>
          <t>Цена ед., средняя</t>
        </is>
      </c>
      <c r="G1" s="1" t="inlineStr">
        <is>
          <t>Множитель (работодатель ×1,5)</t>
        </is>
      </c>
      <c r="H1" s="1" t="inlineStr">
        <is>
          <t>Сумма, ₽</t>
        </is>
      </c>
      <c r="I1" s="1" t="inlineStr">
        <is>
          <t>Сумма по мин., ₽</t>
        </is>
      </c>
      <c r="J1" s="1" t="inlineStr">
        <is>
          <t>Сумма по макс., ₽</t>
        </is>
      </c>
    </row>
    <row r="2">
      <c r="A2" s="2" t="inlineStr">
        <is>
          <t>ТРАНСПОРТ И СПЕЦТЕХНИКА (аренда с оператором, смена 8 ч)</t>
        </is>
      </c>
      <c r="B2" s="9" t="n"/>
      <c r="C2" s="9" t="n"/>
      <c r="D2" s="9" t="n"/>
      <c r="E2" s="9" t="n"/>
      <c r="F2" s="9" t="n"/>
      <c r="G2" s="9" t="n"/>
      <c r="H2" s="9" t="n"/>
      <c r="I2" s="9" t="n"/>
      <c r="J2" s="9" t="n"/>
    </row>
    <row r="3">
      <c r="A3" s="3" t="inlineStr">
        <is>
          <t>1</t>
        </is>
      </c>
      <c r="B3" s="3" t="inlineStr">
        <is>
          <t>Бульдозер Т-130/Shantui SD16/D65</t>
        </is>
      </c>
      <c r="C3" s="3" t="inlineStr">
        <is>
          <t>смена</t>
        </is>
      </c>
      <c r="D3" s="8" t="n">
        <v>15</v>
      </c>
      <c r="E3" s="3" t="inlineStr">
        <is>
          <t>планировка, срезка</t>
        </is>
      </c>
      <c r="F3" s="10">
        <f>'Сверка цен'!G3</f>
        <v/>
      </c>
      <c r="G3" s="10" t="n">
        <v>1</v>
      </c>
      <c r="H3" s="10">
        <f>D3*F3*G3</f>
        <v/>
      </c>
      <c r="I3" s="10">
        <f>D3*'Сверка цен'!E3*G3</f>
        <v/>
      </c>
      <c r="J3" s="10">
        <f>D3*'Сверка цен'!F3*G3</f>
        <v/>
      </c>
    </row>
    <row r="4">
      <c r="A4" s="3" t="inlineStr">
        <is>
          <t>2</t>
        </is>
      </c>
      <c r="B4" s="3" t="inlineStr">
        <is>
          <t>Экскаватор гусеничный 0,5 м³</t>
        </is>
      </c>
      <c r="C4" s="3" t="inlineStr">
        <is>
          <t>смена</t>
        </is>
      </c>
      <c r="D4" s="8" t="n">
        <v>30</v>
      </c>
      <c r="E4" s="3" t="inlineStr">
        <is>
          <t>котлованы, траншеи</t>
        </is>
      </c>
      <c r="F4" s="10">
        <f>'Сверка цен'!G4</f>
        <v/>
      </c>
      <c r="G4" s="10" t="n">
        <v>1</v>
      </c>
      <c r="H4" s="10">
        <f>D4*F4*G4</f>
        <v/>
      </c>
      <c r="I4" s="10">
        <f>D4*'Сверка цен'!E4*G4</f>
        <v/>
      </c>
      <c r="J4" s="10">
        <f>D4*'Сверка цен'!F4*G4</f>
        <v/>
      </c>
    </row>
    <row r="5">
      <c r="A5" s="3" t="inlineStr">
        <is>
          <t>3</t>
        </is>
      </c>
      <c r="B5" s="3" t="inlineStr">
        <is>
          <t>Экскаватор-погрузчик JCB 3CX</t>
        </is>
      </c>
      <c r="C5" s="3" t="inlineStr">
        <is>
          <t>смена</t>
        </is>
      </c>
      <c r="D5" s="8" t="n">
        <v>60</v>
      </c>
      <c r="E5" s="3" t="inlineStr">
        <is>
          <t>универсальная машина</t>
        </is>
      </c>
      <c r="F5" s="10">
        <f>'Сверка цен'!G5</f>
        <v/>
      </c>
      <c r="G5" s="10" t="n">
        <v>1</v>
      </c>
      <c r="H5" s="10">
        <f>D5*F5*G5</f>
        <v/>
      </c>
      <c r="I5" s="10">
        <f>D5*'Сверка цен'!E5*G5</f>
        <v/>
      </c>
      <c r="J5" s="10">
        <f>D5*'Сверка цен'!F5*G5</f>
        <v/>
      </c>
    </row>
    <row r="6">
      <c r="A6" s="3" t="inlineStr">
        <is>
          <t>4</t>
        </is>
      </c>
      <c r="B6" s="3" t="inlineStr">
        <is>
          <t>Мини-погрузчик Bobcat S630 (аналоги S300/643)</t>
        </is>
      </c>
      <c r="C6" s="3" t="inlineStr">
        <is>
          <t>смена</t>
        </is>
      </c>
      <c r="D6" s="8" t="n">
        <v>60</v>
      </c>
      <c r="E6" s="3" t="inlineStr">
        <is>
          <t>планировка, подача</t>
        </is>
      </c>
      <c r="F6" s="10">
        <f>'Сверка цен'!G6</f>
        <v/>
      </c>
      <c r="G6" s="10" t="n">
        <v>1</v>
      </c>
      <c r="H6" s="10">
        <f>D6*F6*G6</f>
        <v/>
      </c>
      <c r="I6" s="10">
        <f>D6*'Сверка цен'!E6*G6</f>
        <v/>
      </c>
      <c r="J6" s="10">
        <f>D6*'Сверка цен'!F6*G6</f>
        <v/>
      </c>
    </row>
    <row r="7">
      <c r="A7" s="3" t="inlineStr">
        <is>
          <t>5</t>
        </is>
      </c>
      <c r="B7" s="3" t="inlineStr">
        <is>
          <t>Самосвал КАМАЗ до 15 т</t>
        </is>
      </c>
      <c r="C7" s="3" t="inlineStr">
        <is>
          <t>смена</t>
        </is>
      </c>
      <c r="D7" s="8" t="n">
        <v>120</v>
      </c>
      <c r="E7" s="3" t="inlineStr">
        <is>
          <t>2 машины × 60 смен</t>
        </is>
      </c>
      <c r="F7" s="10">
        <f>'Сверка цен'!G7</f>
        <v/>
      </c>
      <c r="G7" s="10" t="n">
        <v>1</v>
      </c>
      <c r="H7" s="10">
        <f>D7*F7*G7</f>
        <v/>
      </c>
      <c r="I7" s="10">
        <f>D7*'Сверка цен'!E7*G7</f>
        <v/>
      </c>
      <c r="J7" s="10">
        <f>D7*'Сверка цен'!F7*G7</f>
        <v/>
      </c>
    </row>
    <row r="8">
      <c r="A8" s="3" t="inlineStr">
        <is>
          <t>6</t>
        </is>
      </c>
      <c r="B8" s="3" t="inlineStr">
        <is>
          <t>Манипулятор 5–7 т</t>
        </is>
      </c>
      <c r="C8" s="3" t="inlineStr">
        <is>
          <t>смена</t>
        </is>
      </c>
      <c r="D8" s="8" t="n">
        <v>20</v>
      </c>
      <c r="E8" s="3" t="inlineStr">
        <is>
          <t>бордюр, опоры</t>
        </is>
      </c>
      <c r="F8" s="10">
        <f>'Сверка цен'!G8</f>
        <v/>
      </c>
      <c r="G8" s="10" t="n">
        <v>1</v>
      </c>
      <c r="H8" s="10">
        <f>D8*F8*G8</f>
        <v/>
      </c>
      <c r="I8" s="10">
        <f>D8*'Сверка цен'!E8*G8</f>
        <v/>
      </c>
      <c r="J8" s="10">
        <f>D8*'Сверка цен'!F8*G8</f>
        <v/>
      </c>
    </row>
    <row r="9">
      <c r="A9" s="3" t="inlineStr">
        <is>
          <t>7</t>
        </is>
      </c>
      <c r="B9" s="3" t="inlineStr">
        <is>
          <t>Автовышка 18 м</t>
        </is>
      </c>
      <c r="C9" s="3" t="inlineStr">
        <is>
          <t>смена</t>
        </is>
      </c>
      <c r="D9" s="8" t="n">
        <v>15</v>
      </c>
      <c r="E9" s="3" t="inlineStr">
        <is>
          <t>монтаж светильников</t>
        </is>
      </c>
      <c r="F9" s="10">
        <f>'Сверка цен'!G9</f>
        <v/>
      </c>
      <c r="G9" s="10" t="n">
        <v>1</v>
      </c>
      <c r="H9" s="10">
        <f>D9*F9*G9</f>
        <v/>
      </c>
      <c r="I9" s="10">
        <f>D9*'Сверка цен'!E9*G9</f>
        <v/>
      </c>
      <c r="J9" s="10">
        <f>D9*'Сверка цен'!F9*G9</f>
        <v/>
      </c>
    </row>
    <row r="10">
      <c r="A10" s="3" t="inlineStr">
        <is>
          <t>8</t>
        </is>
      </c>
      <c r="B10" s="3" t="inlineStr">
        <is>
          <t>Тягач + полуприцеп/трал</t>
        </is>
      </c>
      <c r="C10" s="3" t="inlineStr">
        <is>
          <t>смена</t>
        </is>
      </c>
      <c r="D10" s="8" t="n">
        <v>6</v>
      </c>
      <c r="E10" s="3" t="inlineStr">
        <is>
          <t>перебазировка техники</t>
        </is>
      </c>
      <c r="F10" s="10">
        <f>'Сверка цен'!G10</f>
        <v/>
      </c>
      <c r="G10" s="10" t="n">
        <v>1</v>
      </c>
      <c r="H10" s="10">
        <f>D10*F10*G10</f>
        <v/>
      </c>
      <c r="I10" s="10">
        <f>D10*'Сверка цен'!E10*G10</f>
        <v/>
      </c>
      <c r="J10" s="10">
        <f>D10*'Сверка цен'!F10*G10</f>
        <v/>
      </c>
    </row>
    <row r="11">
      <c r="A11" s="3" t="inlineStr">
        <is>
          <t>9</t>
        </is>
      </c>
      <c r="B11" s="3" t="inlineStr">
        <is>
          <t>Бортовой автомобиль до 5 т</t>
        </is>
      </c>
      <c r="C11" s="3" t="inlineStr">
        <is>
          <t>смена</t>
        </is>
      </c>
      <c r="D11" s="8" t="n">
        <v>40</v>
      </c>
      <c r="E11" s="3" t="inlineStr"/>
      <c r="F11" s="10">
        <f>'Сверка цен'!G11</f>
        <v/>
      </c>
      <c r="G11" s="10" t="n">
        <v>1</v>
      </c>
      <c r="H11" s="10">
        <f>D11*F11*G11</f>
        <v/>
      </c>
      <c r="I11" s="10">
        <f>D11*'Сверка цен'!E11*G11</f>
        <v/>
      </c>
      <c r="J11" s="10">
        <f>D11*'Сверка цен'!F11*G11</f>
        <v/>
      </c>
    </row>
    <row r="12">
      <c r="A12" s="3" t="inlineStr">
        <is>
          <t>10</t>
        </is>
      </c>
      <c r="B12" s="3" t="inlineStr">
        <is>
          <t>Автокран 16 т (Ивановец)</t>
        </is>
      </c>
      <c r="C12" s="3" t="inlineStr">
        <is>
          <t>смена</t>
        </is>
      </c>
      <c r="D12" s="8" t="n">
        <v>15</v>
      </c>
      <c r="E12" s="3" t="inlineStr"/>
      <c r="F12" s="10">
        <f>'Сверка цен'!G12</f>
        <v/>
      </c>
      <c r="G12" s="10" t="n">
        <v>1</v>
      </c>
      <c r="H12" s="10">
        <f>D12*F12*G12</f>
        <v/>
      </c>
      <c r="I12" s="10">
        <f>D12*'Сверка цен'!E12*G12</f>
        <v/>
      </c>
      <c r="J12" s="10">
        <f>D12*'Сверка цен'!F12*G12</f>
        <v/>
      </c>
    </row>
    <row r="13">
      <c r="A13" s="3" t="inlineStr">
        <is>
          <t>11</t>
        </is>
      </c>
      <c r="B13" s="3" t="inlineStr">
        <is>
          <t>Компрессор дизельный ~5 м³/мин</t>
        </is>
      </c>
      <c r="C13" s="3" t="inlineStr">
        <is>
          <t>смена</t>
        </is>
      </c>
      <c r="D13" s="8" t="n">
        <v>20</v>
      </c>
      <c r="E13" s="3" t="inlineStr">
        <is>
          <t>демонтаж</t>
        </is>
      </c>
      <c r="F13" s="10">
        <f>'Сверка цен'!G13</f>
        <v/>
      </c>
      <c r="G13" s="10" t="n">
        <v>1</v>
      </c>
      <c r="H13" s="10">
        <f>D13*F13*G13</f>
        <v/>
      </c>
      <c r="I13" s="10">
        <f>D13*'Сверка цен'!E13*G13</f>
        <v/>
      </c>
      <c r="J13" s="10">
        <f>D13*'Сверка цен'!F13*G13</f>
        <v/>
      </c>
    </row>
    <row r="14">
      <c r="A14" s="3" t="inlineStr">
        <is>
          <t>12</t>
        </is>
      </c>
      <c r="B14" s="3" t="inlineStr">
        <is>
          <t>Отбойный молоток пневматический</t>
        </is>
      </c>
      <c r="C14" s="3" t="inlineStr">
        <is>
          <t>смена</t>
        </is>
      </c>
      <c r="D14" s="8" t="n">
        <v>20</v>
      </c>
      <c r="E14" s="3" t="inlineStr"/>
      <c r="F14" s="10">
        <f>'Сверка цен'!G14</f>
        <v/>
      </c>
      <c r="G14" s="10" t="n">
        <v>1</v>
      </c>
      <c r="H14" s="10">
        <f>D14*F14*G14</f>
        <v/>
      </c>
      <c r="I14" s="10">
        <f>D14*'Сверка цен'!E14*G14</f>
        <v/>
      </c>
      <c r="J14" s="10">
        <f>D14*'Сверка цен'!F14*G14</f>
        <v/>
      </c>
    </row>
    <row r="15">
      <c r="A15" s="3" t="inlineStr">
        <is>
          <t>13</t>
        </is>
      </c>
      <c r="B15" s="3" t="inlineStr">
        <is>
          <t>Пост газосварки/резки (без газов)</t>
        </is>
      </c>
      <c r="C15" s="3" t="inlineStr">
        <is>
          <t>смена</t>
        </is>
      </c>
      <c r="D15" s="8" t="n">
        <v>10</v>
      </c>
      <c r="E15" s="3" t="inlineStr"/>
      <c r="F15" s="10">
        <f>'Сверка цен'!G15</f>
        <v/>
      </c>
      <c r="G15" s="10" t="n">
        <v>1</v>
      </c>
      <c r="H15" s="10">
        <f>D15*F15*G15</f>
        <v/>
      </c>
      <c r="I15" s="10">
        <f>D15*'Сверка цен'!E15*G15</f>
        <v/>
      </c>
      <c r="J15" s="10">
        <f>D15*'Сверка цен'!F15*G15</f>
        <v/>
      </c>
    </row>
    <row r="16">
      <c r="A16" s="3" t="inlineStr">
        <is>
          <t>14</t>
        </is>
      </c>
      <c r="B16" s="3" t="inlineStr">
        <is>
          <t>Сварочный аппарат до 350 А</t>
        </is>
      </c>
      <c r="C16" s="3" t="inlineStr">
        <is>
          <t>смена</t>
        </is>
      </c>
      <c r="D16" s="8" t="n">
        <v>30</v>
      </c>
      <c r="E16" s="3" t="inlineStr"/>
      <c r="F16" s="10">
        <f>'Сверка цен'!G16</f>
        <v/>
      </c>
      <c r="G16" s="10" t="n">
        <v>1</v>
      </c>
      <c r="H16" s="10">
        <f>D16*F16*G16</f>
        <v/>
      </c>
      <c r="I16" s="10">
        <f>D16*'Сверка цен'!E16*G16</f>
        <v/>
      </c>
      <c r="J16" s="10">
        <f>D16*'Сверка цен'!F16*G16</f>
        <v/>
      </c>
    </row>
    <row r="17">
      <c r="A17" s="3" t="inlineStr">
        <is>
          <t>15</t>
        </is>
      </c>
      <c r="B17" s="3" t="inlineStr">
        <is>
          <t>Каток грунтовый 16–20 т (30 т в Хабаровске нет)</t>
        </is>
      </c>
      <c r="C17" s="3" t="inlineStr">
        <is>
          <t>смена</t>
        </is>
      </c>
      <c r="D17" s="8" t="n">
        <v>25</v>
      </c>
      <c r="E17" s="3" t="inlineStr"/>
      <c r="F17" s="10">
        <f>'Сверка цен'!G17</f>
        <v/>
      </c>
      <c r="G17" s="10" t="n">
        <v>1</v>
      </c>
      <c r="H17" s="10">
        <f>D17*F17*G17</f>
        <v/>
      </c>
      <c r="I17" s="10">
        <f>D17*'Сверка цен'!E17*G17</f>
        <v/>
      </c>
      <c r="J17" s="10">
        <f>D17*'Сверка цен'!F17*G17</f>
        <v/>
      </c>
    </row>
    <row r="18">
      <c r="A18" s="3" t="inlineStr">
        <is>
          <t>16</t>
        </is>
      </c>
      <c r="B18" s="3" t="inlineStr">
        <is>
          <t>Бункер 8–20 м³ (установка+вывоз)</t>
        </is>
      </c>
      <c r="C18" s="3" t="inlineStr">
        <is>
          <t>вывоз</t>
        </is>
      </c>
      <c r="D18" s="8" t="n">
        <v>30</v>
      </c>
      <c r="E18" s="3" t="inlineStr"/>
      <c r="F18" s="10">
        <f>'Сверка цен'!G18</f>
        <v/>
      </c>
      <c r="G18" s="10" t="n">
        <v>1</v>
      </c>
      <c r="H18" s="10">
        <f>D18*F18*G18</f>
        <v/>
      </c>
      <c r="I18" s="10">
        <f>D18*'Сверка цен'!E18*G18</f>
        <v/>
      </c>
      <c r="J18" s="10">
        <f>D18*'Сверка цен'!F18*G18</f>
        <v/>
      </c>
    </row>
    <row r="19">
      <c r="A19" s="3" t="inlineStr">
        <is>
          <t>17</t>
        </is>
      </c>
      <c r="B19" s="3" t="inlineStr">
        <is>
          <t>Полигон — приём отходов</t>
        </is>
      </c>
      <c r="C19" s="3" t="inlineStr">
        <is>
          <t>т</t>
        </is>
      </c>
      <c r="D19" s="8" t="n">
        <v>300</v>
      </c>
      <c r="E19" s="3" t="inlineStr">
        <is>
          <t>демонтаж старых покрытий</t>
        </is>
      </c>
      <c r="F19" s="10">
        <f>'Сверка цен'!G19</f>
        <v/>
      </c>
      <c r="G19" s="10" t="n">
        <v>1</v>
      </c>
      <c r="H19" s="10">
        <f>D19*F19*G19</f>
        <v/>
      </c>
      <c r="I19" s="10">
        <f>D19*'Сверка цен'!E19*G19</f>
        <v/>
      </c>
      <c r="J19" s="10">
        <f>D19*'Сверка цен'!F19*G19</f>
        <v/>
      </c>
    </row>
    <row r="20">
      <c r="A20" s="2" t="inlineStr">
        <is>
          <t>РАСХОДНЫЕ МАТЕРИАЛЫ</t>
        </is>
      </c>
      <c r="B20" s="9" t="n"/>
      <c r="C20" s="9" t="n"/>
      <c r="D20" s="9" t="n"/>
      <c r="E20" s="9" t="n"/>
      <c r="F20" s="9" t="n"/>
      <c r="G20" s="9" t="n"/>
      <c r="H20" s="9" t="n"/>
      <c r="I20" s="9" t="n"/>
      <c r="J20" s="9" t="n"/>
    </row>
    <row r="21">
      <c r="A21" s="3" t="inlineStr">
        <is>
          <t>18</t>
        </is>
      </c>
      <c r="B21" s="3" t="inlineStr">
        <is>
          <t>Ацетилен 40 л — заправка/обмен</t>
        </is>
      </c>
      <c r="C21" s="3" t="inlineStr">
        <is>
          <t>баллон</t>
        </is>
      </c>
      <c r="D21" s="8" t="n">
        <v>10</v>
      </c>
      <c r="E21" s="3" t="inlineStr"/>
      <c r="F21" s="10">
        <f>'Сверка цен'!G21</f>
        <v/>
      </c>
      <c r="G21" s="10" t="n">
        <v>1</v>
      </c>
      <c r="H21" s="10">
        <f>D21*F21*G21</f>
        <v/>
      </c>
      <c r="I21" s="10">
        <f>D21*'Сверка цен'!E21*G21</f>
        <v/>
      </c>
      <c r="J21" s="10">
        <f>D21*'Сверка цен'!F21*G21</f>
        <v/>
      </c>
    </row>
    <row r="22">
      <c r="A22" s="3" t="inlineStr">
        <is>
          <t>19</t>
        </is>
      </c>
      <c r="B22" s="3" t="inlineStr">
        <is>
          <t>Пропан-бутан 50 л — заправка</t>
        </is>
      </c>
      <c r="C22" s="3" t="inlineStr">
        <is>
          <t>баллон</t>
        </is>
      </c>
      <c r="D22" s="8" t="n">
        <v>15</v>
      </c>
      <c r="E22" s="3" t="inlineStr"/>
      <c r="F22" s="10">
        <f>'Сверка цен'!G22</f>
        <v/>
      </c>
      <c r="G22" s="10" t="n">
        <v>1</v>
      </c>
      <c r="H22" s="10">
        <f>D22*F22*G22</f>
        <v/>
      </c>
      <c r="I22" s="10">
        <f>D22*'Сверка цен'!E22*G22</f>
        <v/>
      </c>
      <c r="J22" s="10">
        <f>D22*'Сверка цен'!F22*G22</f>
        <v/>
      </c>
    </row>
    <row r="23">
      <c r="A23" s="3" t="inlineStr">
        <is>
          <t>20</t>
        </is>
      </c>
      <c r="B23" s="3" t="inlineStr">
        <is>
          <t>Кислород 40 л (6 м³) — заправка</t>
        </is>
      </c>
      <c r="C23" s="3" t="inlineStr">
        <is>
          <t>баллон</t>
        </is>
      </c>
      <c r="D23" s="8" t="n">
        <v>30</v>
      </c>
      <c r="E23" s="3" t="inlineStr"/>
      <c r="F23" s="10">
        <f>'Сверка цен'!G23</f>
        <v/>
      </c>
      <c r="G23" s="10" t="n">
        <v>1</v>
      </c>
      <c r="H23" s="10">
        <f>D23*F23*G23</f>
        <v/>
      </c>
      <c r="I23" s="10">
        <f>D23*'Сверка цен'!E23*G23</f>
        <v/>
      </c>
      <c r="J23" s="10">
        <f>D23*'Сверка цен'!F23*G23</f>
        <v/>
      </c>
    </row>
    <row r="24">
      <c r="A24" s="3" t="inlineStr">
        <is>
          <t>21</t>
        </is>
      </c>
      <c r="B24" s="3" t="inlineStr">
        <is>
          <t>Бензин АИ-95 (АИ-98 = 88,72 ₽)</t>
        </is>
      </c>
      <c r="C24" s="3" t="inlineStr">
        <is>
          <t>л</t>
        </is>
      </c>
      <c r="D24" s="8" t="n">
        <v>2000</v>
      </c>
      <c r="E24" s="3" t="inlineStr"/>
      <c r="F24" s="10">
        <f>'Сверка цен'!G24</f>
        <v/>
      </c>
      <c r="G24" s="10" t="n">
        <v>1</v>
      </c>
      <c r="H24" s="10">
        <f>D24*F24*G24</f>
        <v/>
      </c>
      <c r="I24" s="10">
        <f>D24*'Сверка цен'!E24*G24</f>
        <v/>
      </c>
      <c r="J24" s="10">
        <f>D24*'Сверка цен'!F24*G24</f>
        <v/>
      </c>
    </row>
    <row r="25">
      <c r="A25" s="3" t="inlineStr">
        <is>
          <t>22</t>
        </is>
      </c>
      <c r="B25" s="3" t="inlineStr">
        <is>
          <t>Масло 2Т</t>
        </is>
      </c>
      <c r="C25" s="3" t="inlineStr">
        <is>
          <t>л</t>
        </is>
      </c>
      <c r="D25" s="8" t="n">
        <v>40</v>
      </c>
      <c r="E25" s="3" t="inlineStr"/>
      <c r="F25" s="10">
        <f>'Сверка цен'!G25</f>
        <v/>
      </c>
      <c r="G25" s="10" t="n">
        <v>1</v>
      </c>
      <c r="H25" s="10">
        <f>D25*F25*G25</f>
        <v/>
      </c>
      <c r="I25" s="10">
        <f>D25*'Сверка цен'!E25*G25</f>
        <v/>
      </c>
      <c r="J25" s="10">
        <f>D25*'Сверка цен'!F25*G25</f>
        <v/>
      </c>
    </row>
    <row r="26">
      <c r="A26" s="3" t="inlineStr">
        <is>
          <t>23</t>
        </is>
      </c>
      <c r="B26" s="3" t="inlineStr">
        <is>
          <t>Масло цепное</t>
        </is>
      </c>
      <c r="C26" s="3" t="inlineStr">
        <is>
          <t>л</t>
        </is>
      </c>
      <c r="D26" s="8" t="n">
        <v>20</v>
      </c>
      <c r="E26" s="3" t="inlineStr"/>
      <c r="F26" s="10">
        <f>'Сверка цен'!G26</f>
        <v/>
      </c>
      <c r="G26" s="10" t="n">
        <v>1</v>
      </c>
      <c r="H26" s="10">
        <f>D26*F26*G26</f>
        <v/>
      </c>
      <c r="I26" s="10">
        <f>D26*'Сверка цен'!E26*G26</f>
        <v/>
      </c>
      <c r="J26" s="10">
        <f>D26*'Сверка цен'!F26*G26</f>
        <v/>
      </c>
    </row>
    <row r="27">
      <c r="A27" s="2" t="inlineStr">
        <is>
          <t>СТРОИТЕЛЬНЫЕ МАТЕРИАЛЫ</t>
        </is>
      </c>
      <c r="B27" s="9" t="n"/>
      <c r="C27" s="9" t="n"/>
      <c r="D27" s="9" t="n"/>
      <c r="E27" s="9" t="n"/>
      <c r="F27" s="9" t="n"/>
      <c r="G27" s="9" t="n"/>
      <c r="H27" s="9" t="n"/>
      <c r="I27" s="9" t="n"/>
      <c r="J27" s="9" t="n"/>
    </row>
    <row r="28">
      <c r="A28" s="3" t="inlineStr">
        <is>
          <t>24</t>
        </is>
      </c>
      <c r="B28" s="3" t="inlineStr">
        <is>
          <t>Песок строительный II кл. (с доставкой)</t>
        </is>
      </c>
      <c r="C28" s="3" t="inlineStr">
        <is>
          <t>м³</t>
        </is>
      </c>
      <c r="D28" s="8" t="n">
        <v>650</v>
      </c>
      <c r="E28" s="3" t="inlineStr">
        <is>
          <t>основания 4100 м² × 0,15</t>
        </is>
      </c>
      <c r="F28" s="10">
        <f>'Сверка цен'!G28</f>
        <v/>
      </c>
      <c r="G28" s="10" t="n">
        <v>1</v>
      </c>
      <c r="H28" s="10">
        <f>D28*F28*G28</f>
        <v/>
      </c>
      <c r="I28" s="10">
        <f>D28*'Сверка цен'!E28*G28</f>
        <v/>
      </c>
      <c r="J28" s="10">
        <f>D28*'Сверка цен'!F28*G28</f>
        <v/>
      </c>
    </row>
    <row r="29">
      <c r="A29" s="3" t="inlineStr">
        <is>
          <t>25</t>
        </is>
      </c>
      <c r="B29" s="3" t="inlineStr">
        <is>
          <t>Щебень гранитный крупный (80-120 нет; между 40-70 и 100-200)</t>
        </is>
      </c>
      <c r="C29" s="3" t="inlineStr">
        <is>
          <t>м³</t>
        </is>
      </c>
      <c r="D29" s="8" t="n">
        <v>200</v>
      </c>
      <c r="E29" s="3" t="inlineStr">
        <is>
          <t>нижний слой основания</t>
        </is>
      </c>
      <c r="F29" s="10">
        <f>'Сверка цен'!G29</f>
        <v/>
      </c>
      <c r="G29" s="10" t="n">
        <v>1</v>
      </c>
      <c r="H29" s="10">
        <f>D29*F29*G29</f>
        <v/>
      </c>
      <c r="I29" s="10">
        <f>D29*'Сверка цен'!E29*G29</f>
        <v/>
      </c>
      <c r="J29" s="10">
        <f>D29*'Сверка цен'!F29*G29</f>
        <v/>
      </c>
    </row>
    <row r="30">
      <c r="A30" s="3" t="inlineStr">
        <is>
          <t>26</t>
        </is>
      </c>
      <c r="B30" s="3" t="inlineStr">
        <is>
          <t>Щебень 20-40</t>
        </is>
      </c>
      <c r="C30" s="3" t="inlineStr">
        <is>
          <t>м³</t>
        </is>
      </c>
      <c r="D30" s="8" t="n">
        <v>650</v>
      </c>
      <c r="E30" s="3" t="inlineStr">
        <is>
          <t>основания 4100 м² × 0,15</t>
        </is>
      </c>
      <c r="F30" s="10">
        <f>'Сверка цен'!G30</f>
        <v/>
      </c>
      <c r="G30" s="10" t="n">
        <v>1</v>
      </c>
      <c r="H30" s="10">
        <f>D30*F30*G30</f>
        <v/>
      </c>
      <c r="I30" s="10">
        <f>D30*'Сверка цен'!E30*G30</f>
        <v/>
      </c>
      <c r="J30" s="10">
        <f>D30*'Сверка цен'!F30*G30</f>
        <v/>
      </c>
    </row>
    <row r="31">
      <c r="A31" s="3" t="inlineStr">
        <is>
          <t>27</t>
        </is>
      </c>
      <c r="B31" s="3" t="inlineStr">
        <is>
          <t>Грунт растительный (навал с доставкой)</t>
        </is>
      </c>
      <c r="C31" s="3" t="inlineStr">
        <is>
          <t>м³</t>
        </is>
      </c>
      <c r="D31" s="8" t="n">
        <v>750</v>
      </c>
      <c r="E31" s="3" t="inlineStr">
        <is>
          <t>газон 5000 м² × 0,15</t>
        </is>
      </c>
      <c r="F31" s="10">
        <f>'Сверка цен'!G31</f>
        <v/>
      </c>
      <c r="G31" s="10" t="n">
        <v>1</v>
      </c>
      <c r="H31" s="10">
        <f>D31*F31*G31</f>
        <v/>
      </c>
      <c r="I31" s="10">
        <f>D31*'Сверка цен'!E31*G31</f>
        <v/>
      </c>
      <c r="J31" s="10">
        <f>D31*'Сверка цен'!F31*G31</f>
        <v/>
      </c>
    </row>
    <row r="32">
      <c r="A32" s="3" t="inlineStr">
        <is>
          <t>28</t>
        </is>
      </c>
      <c r="B32" s="3" t="inlineStr">
        <is>
          <t>Вода техническая (водовоз)</t>
        </is>
      </c>
      <c r="C32" s="3" t="inlineStr">
        <is>
          <t>м³</t>
        </is>
      </c>
      <c r="D32" s="8" t="n">
        <v>200</v>
      </c>
      <c r="E32" s="3" t="inlineStr"/>
      <c r="F32" s="10">
        <f>'Сверка цен'!G32</f>
        <v/>
      </c>
      <c r="G32" s="10" t="n">
        <v>1</v>
      </c>
      <c r="H32" s="10">
        <f>D32*F32*G32</f>
        <v/>
      </c>
      <c r="I32" s="10">
        <f>D32*'Сверка цен'!E32*G32</f>
        <v/>
      </c>
      <c r="J32" s="10">
        <f>D32*'Сверка цен'!F32*G32</f>
        <v/>
      </c>
    </row>
    <row r="33">
      <c r="A33" s="3" t="inlineStr">
        <is>
          <t>29</t>
        </is>
      </c>
      <c r="B33" s="3" t="inlineStr">
        <is>
          <t>Асфальтобетон горячий тип А/Б (ЩМА ~8 500–9 000)</t>
        </is>
      </c>
      <c r="C33" s="3" t="inlineStr">
        <is>
          <t>т</t>
        </is>
      </c>
      <c r="D33" s="8" t="n">
        <v>120</v>
      </c>
      <c r="E33" s="3" t="inlineStr">
        <is>
          <t>1000 м² × 5 см</t>
        </is>
      </c>
      <c r="F33" s="10">
        <f>'Сверка цен'!G33</f>
        <v/>
      </c>
      <c r="G33" s="10" t="n">
        <v>1</v>
      </c>
      <c r="H33" s="10">
        <f>D33*F33*G33</f>
        <v/>
      </c>
      <c r="I33" s="10">
        <f>D33*'Сверка цен'!E33*G33</f>
        <v/>
      </c>
      <c r="J33" s="10">
        <f>D33*'Сверка цен'!F33*G33</f>
        <v/>
      </c>
    </row>
    <row r="34">
      <c r="A34" s="3" t="inlineStr">
        <is>
          <t>30</t>
        </is>
      </c>
      <c r="B34" s="3" t="inlineStr">
        <is>
          <t>Катанка 6,3–6,5 мм</t>
        </is>
      </c>
      <c r="C34" s="3" t="inlineStr">
        <is>
          <t>т</t>
        </is>
      </c>
      <c r="D34" s="8" t="n">
        <v>2</v>
      </c>
      <c r="E34" s="3" t="inlineStr"/>
      <c r="F34" s="10">
        <f>'Сверка цен'!G34</f>
        <v/>
      </c>
      <c r="G34" s="10" t="n">
        <v>1</v>
      </c>
      <c r="H34" s="10">
        <f>D34*F34*G34</f>
        <v/>
      </c>
      <c r="I34" s="10">
        <f>D34*'Сверка цен'!E34*G34</f>
        <v/>
      </c>
      <c r="J34" s="10">
        <f>D34*'Сверка цен'!F34*G34</f>
        <v/>
      </c>
    </row>
    <row r="35">
      <c r="A35" s="3" t="inlineStr">
        <is>
          <t>31</t>
        </is>
      </c>
      <c r="B35" s="3" t="inlineStr">
        <is>
          <t>Лес круглый хвойный ø14–24</t>
        </is>
      </c>
      <c r="C35" s="3" t="inlineStr">
        <is>
          <t>м³</t>
        </is>
      </c>
      <c r="D35" s="8" t="n">
        <v>10</v>
      </c>
      <c r="E35" s="3" t="inlineStr"/>
      <c r="F35" s="10">
        <f>'Сверка цен'!G35</f>
        <v/>
      </c>
      <c r="G35" s="10" t="n">
        <v>1</v>
      </c>
      <c r="H35" s="10">
        <f>D35*F35*G35</f>
        <v/>
      </c>
      <c r="I35" s="10">
        <f>D35*'Сверка цен'!E35*G35</f>
        <v/>
      </c>
      <c r="J35" s="10">
        <f>D35*'Сверка цен'!F35*G35</f>
        <v/>
      </c>
    </row>
    <row r="36">
      <c r="A36" s="3" t="inlineStr">
        <is>
          <t>32</t>
        </is>
      </c>
      <c r="B36" s="3" t="inlineStr">
        <is>
          <t>Брусок обрезной хвоя 1–2 с.</t>
        </is>
      </c>
      <c r="C36" s="3" t="inlineStr">
        <is>
          <t>м³</t>
        </is>
      </c>
      <c r="D36" s="8" t="n">
        <v>5</v>
      </c>
      <c r="E36" s="3" t="inlineStr"/>
      <c r="F36" s="10">
        <f>'Сверка цен'!G36</f>
        <v/>
      </c>
      <c r="G36" s="10" t="n">
        <v>1</v>
      </c>
      <c r="H36" s="10">
        <f>D36*F36*G36</f>
        <v/>
      </c>
      <c r="I36" s="10">
        <f>D36*'Сверка цен'!E36*G36</f>
        <v/>
      </c>
      <c r="J36" s="10">
        <f>D36*'Сверка цен'!F36*G36</f>
        <v/>
      </c>
    </row>
    <row r="37">
      <c r="A37" s="3" t="inlineStr">
        <is>
          <t>33</t>
        </is>
      </c>
      <c r="B37" s="3" t="inlineStr">
        <is>
          <t>Доска обрезная 25 мм</t>
        </is>
      </c>
      <c r="C37" s="3" t="inlineStr">
        <is>
          <t>м³</t>
        </is>
      </c>
      <c r="D37" s="8" t="n">
        <v>10</v>
      </c>
      <c r="E37" s="3" t="inlineStr">
        <is>
          <t>опалубка</t>
        </is>
      </c>
      <c r="F37" s="10">
        <f>'Сверка цен'!G37</f>
        <v/>
      </c>
      <c r="G37" s="10" t="n">
        <v>1</v>
      </c>
      <c r="H37" s="10">
        <f>D37*F37*G37</f>
        <v/>
      </c>
      <c r="I37" s="10">
        <f>D37*'Сверка цен'!E37*G37</f>
        <v/>
      </c>
      <c r="J37" s="10">
        <f>D37*'Сверка цен'!F37*G37</f>
        <v/>
      </c>
    </row>
    <row r="38">
      <c r="A38" s="3" t="inlineStr">
        <is>
          <t>34</t>
        </is>
      </c>
      <c r="B38" s="3" t="inlineStr">
        <is>
          <t>Геотекстиль 300 г/м²</t>
        </is>
      </c>
      <c r="C38" s="3" t="inlineStr">
        <is>
          <t>м²</t>
        </is>
      </c>
      <c r="D38" s="8" t="n">
        <v>4500</v>
      </c>
      <c r="E38" s="3" t="inlineStr"/>
      <c r="F38" s="10">
        <f>'Сверка цен'!G38</f>
        <v/>
      </c>
      <c r="G38" s="10" t="n">
        <v>1</v>
      </c>
      <c r="H38" s="10">
        <f>D38*F38*G38</f>
        <v/>
      </c>
      <c r="I38" s="10">
        <f>D38*'Сверка цен'!E38*G38</f>
        <v/>
      </c>
      <c r="J38" s="10">
        <f>D38*'Сверка цен'!F38*G38</f>
        <v/>
      </c>
    </row>
    <row r="39">
      <c r="A39" s="3" t="inlineStr">
        <is>
          <t>35</t>
        </is>
      </c>
      <c r="B39" s="3" t="inlineStr">
        <is>
          <t>Камень бутовый 150–500 мм</t>
        </is>
      </c>
      <c r="C39" s="3" t="inlineStr">
        <is>
          <t>т</t>
        </is>
      </c>
      <c r="D39" s="8" t="n">
        <v>50</v>
      </c>
      <c r="E39" s="3" t="inlineStr"/>
      <c r="F39" s="10">
        <f>'Сверка цен'!G39</f>
        <v/>
      </c>
      <c r="G39" s="10" t="n">
        <v>1</v>
      </c>
      <c r="H39" s="10">
        <f>D39*F39*G39</f>
        <v/>
      </c>
      <c r="I39" s="10">
        <f>D39*'Сверка цен'!E39*G39</f>
        <v/>
      </c>
      <c r="J39" s="10">
        <f>D39*'Сверка цен'!F39*G39</f>
        <v/>
      </c>
    </row>
    <row r="40">
      <c r="A40" s="3" t="inlineStr">
        <is>
          <t>36</t>
        </is>
      </c>
      <c r="B40" s="3" t="inlineStr">
        <is>
          <t>Плёнка ПЭ 200 мкм (500 мкм ≈ 60–90)</t>
        </is>
      </c>
      <c r="C40" s="3" t="inlineStr">
        <is>
          <t>м²</t>
        </is>
      </c>
      <c r="D40" s="8" t="n">
        <v>1000</v>
      </c>
      <c r="E40" s="3" t="inlineStr"/>
      <c r="F40" s="10">
        <f>'Сверка цен'!G40</f>
        <v/>
      </c>
      <c r="G40" s="10" t="n">
        <v>1</v>
      </c>
      <c r="H40" s="10">
        <f>D40*F40*G40</f>
        <v/>
      </c>
      <c r="I40" s="10">
        <f>D40*'Сверка цен'!E40*G40</f>
        <v/>
      </c>
      <c r="J40" s="10">
        <f>D40*'Сверка цен'!F40*G40</f>
        <v/>
      </c>
    </row>
    <row r="41">
      <c r="A41" s="3" t="inlineStr">
        <is>
          <t>37</t>
        </is>
      </c>
      <c r="B41" s="3" t="inlineStr">
        <is>
          <t>Связующее полиуретановое (с доставкой)</t>
        </is>
      </c>
      <c r="C41" s="3" t="inlineStr">
        <is>
          <t>кг</t>
        </is>
      </c>
      <c r="D41" s="8" t="n">
        <v>1100</v>
      </c>
      <c r="E41" s="3" t="inlineStr">
        <is>
          <t>резин. покрытие 600 м²</t>
        </is>
      </c>
      <c r="F41" s="10">
        <f>'Сверка цен'!G41</f>
        <v/>
      </c>
      <c r="G41" s="10" t="n">
        <v>1</v>
      </c>
      <c r="H41" s="10">
        <f>D41*F41*G41</f>
        <v/>
      </c>
      <c r="I41" s="10">
        <f>D41*'Сверка цен'!E41*G41</f>
        <v/>
      </c>
      <c r="J41" s="10">
        <f>D41*'Сверка цен'!F41*G41</f>
        <v/>
      </c>
    </row>
    <row r="42">
      <c r="A42" s="3" t="inlineStr">
        <is>
          <t>38</t>
        </is>
      </c>
      <c r="B42" s="3" t="inlineStr">
        <is>
          <t>Пигменты для крошки (с доставкой)</t>
        </is>
      </c>
      <c r="C42" s="3" t="inlineStr">
        <is>
          <t>кг</t>
        </is>
      </c>
      <c r="D42" s="8" t="n">
        <v>100</v>
      </c>
      <c r="E42" s="3" t="inlineStr"/>
      <c r="F42" s="10">
        <f>'Сверка цен'!G42</f>
        <v/>
      </c>
      <c r="G42" s="10" t="n">
        <v>1</v>
      </c>
      <c r="H42" s="10">
        <f>D42*F42*G42</f>
        <v/>
      </c>
      <c r="I42" s="10">
        <f>D42*'Сверка цен'!E42*G42</f>
        <v/>
      </c>
      <c r="J42" s="10">
        <f>D42*'Сверка цен'!F42*G42</f>
        <v/>
      </c>
    </row>
    <row r="43">
      <c r="A43" s="3" t="inlineStr">
        <is>
          <t>39</t>
        </is>
      </c>
      <c r="B43" s="3" t="inlineStr">
        <is>
          <t>Крошка резиновая чёрная (с доставкой)</t>
        </is>
      </c>
      <c r="C43" s="3" t="inlineStr">
        <is>
          <t>кг</t>
        </is>
      </c>
      <c r="D43" s="8" t="n">
        <v>4200</v>
      </c>
      <c r="E43" s="3" t="inlineStr">
        <is>
          <t>7 кг/м²</t>
        </is>
      </c>
      <c r="F43" s="10">
        <f>'Сверка цен'!G43</f>
        <v/>
      </c>
      <c r="G43" s="10" t="n">
        <v>1</v>
      </c>
      <c r="H43" s="10">
        <f>D43*F43*G43</f>
        <v/>
      </c>
      <c r="I43" s="10">
        <f>D43*'Сверка цен'!E43*G43</f>
        <v/>
      </c>
      <c r="J43" s="10">
        <f>D43*'Сверка цен'!F43*G43</f>
        <v/>
      </c>
    </row>
    <row r="44">
      <c r="A44" s="3" t="inlineStr">
        <is>
          <t>40</t>
        </is>
      </c>
      <c r="B44" s="3" t="inlineStr">
        <is>
          <t>Крошка EPDM цветная (с доставкой)</t>
        </is>
      </c>
      <c r="C44" s="3" t="inlineStr">
        <is>
          <t>кг</t>
        </is>
      </c>
      <c r="D44" s="8" t="n">
        <v>3000</v>
      </c>
      <c r="E44" s="3" t="inlineStr">
        <is>
          <t>5 кг/м²</t>
        </is>
      </c>
      <c r="F44" s="10">
        <f>'Сверка цен'!G44</f>
        <v/>
      </c>
      <c r="G44" s="10" t="n">
        <v>1</v>
      </c>
      <c r="H44" s="10">
        <f>D44*F44*G44</f>
        <v/>
      </c>
      <c r="I44" s="10">
        <f>D44*'Сверка цен'!E44*G44</f>
        <v/>
      </c>
      <c r="J44" s="10">
        <f>D44*'Сверка цен'!F44*G44</f>
        <v/>
      </c>
    </row>
    <row r="45">
      <c r="A45" s="3" t="inlineStr">
        <is>
          <t>41</t>
        </is>
      </c>
      <c r="B45" s="3" t="inlineStr">
        <is>
          <t>Бордюр БР 100.20.8 серый</t>
        </is>
      </c>
      <c r="C45" s="3" t="inlineStr">
        <is>
          <t>шт</t>
        </is>
      </c>
      <c r="D45" s="8" t="n">
        <v>2000</v>
      </c>
      <c r="E45" s="3" t="inlineStr"/>
      <c r="F45" s="10">
        <f>'Сверка цен'!G45</f>
        <v/>
      </c>
      <c r="G45" s="10" t="n">
        <v>1</v>
      </c>
      <c r="H45" s="10">
        <f>D45*F45*G45</f>
        <v/>
      </c>
      <c r="I45" s="10">
        <f>D45*'Сверка цен'!E45*G45</f>
        <v/>
      </c>
      <c r="J45" s="10">
        <f>D45*'Сверка цен'!F45*G45</f>
        <v/>
      </c>
    </row>
    <row r="46">
      <c r="A46" s="3" t="inlineStr">
        <is>
          <t>42</t>
        </is>
      </c>
      <c r="B46" s="3" t="inlineStr">
        <is>
          <t>Пескобетон М300 (аналог Мастер Гарц) 30 кг</t>
        </is>
      </c>
      <c r="C46" s="3" t="inlineStr">
        <is>
          <t>мешок</t>
        </is>
      </c>
      <c r="D46" s="8" t="n">
        <v>200</v>
      </c>
      <c r="E46" s="3" t="inlineStr"/>
      <c r="F46" s="10">
        <f>'Сверка цен'!G46</f>
        <v/>
      </c>
      <c r="G46" s="10" t="n">
        <v>1</v>
      </c>
      <c r="H46" s="10">
        <f>D46*F46*G46</f>
        <v/>
      </c>
      <c r="I46" s="10">
        <f>D46*'Сверка цен'!E46*G46</f>
        <v/>
      </c>
      <c r="J46" s="10">
        <f>D46*'Сверка цен'!F46*G46</f>
        <v/>
      </c>
    </row>
    <row r="47">
      <c r="A47" s="3" t="inlineStr">
        <is>
          <t>43</t>
        </is>
      </c>
      <c r="B47" s="3" t="inlineStr">
        <is>
          <t>Профнастил С8 0,45 RAL 6005, лист 1,2×2</t>
        </is>
      </c>
      <c r="C47" s="3" t="inlineStr">
        <is>
          <t>лист</t>
        </is>
      </c>
      <c r="D47" s="8" t="n">
        <v>420</v>
      </c>
      <c r="E47" s="3" t="inlineStr">
        <is>
          <t>врем. ограждение 500 м</t>
        </is>
      </c>
      <c r="F47" s="10">
        <f>'Сверка цен'!G47</f>
        <v/>
      </c>
      <c r="G47" s="10" t="n">
        <v>1</v>
      </c>
      <c r="H47" s="10">
        <f>D47*F47*G47</f>
        <v/>
      </c>
      <c r="I47" s="10">
        <f>D47*'Сверка цен'!E47*G47</f>
        <v/>
      </c>
      <c r="J47" s="10">
        <f>D47*'Сверка цен'!F47*G47</f>
        <v/>
      </c>
    </row>
    <row r="48">
      <c r="A48" s="3" t="inlineStr">
        <is>
          <t>44</t>
        </is>
      </c>
      <c r="B48" s="3" t="inlineStr">
        <is>
          <t>Бетон М300 с доставкой (М400 ≈ 8 630)</t>
        </is>
      </c>
      <c r="C48" s="3" t="inlineStr">
        <is>
          <t>м³</t>
        </is>
      </c>
      <c r="D48" s="8" t="n">
        <v>80</v>
      </c>
      <c r="E48" s="3" t="inlineStr">
        <is>
          <t>фундаменты опор, МАФ</t>
        </is>
      </c>
      <c r="F48" s="10">
        <f>'Сверка цен'!G48</f>
        <v/>
      </c>
      <c r="G48" s="10" t="n">
        <v>1</v>
      </c>
      <c r="H48" s="10">
        <f>D48*F48*G48</f>
        <v/>
      </c>
      <c r="I48" s="10">
        <f>D48*'Сверка цен'!E48*G48</f>
        <v/>
      </c>
      <c r="J48" s="10">
        <f>D48*'Сверка цен'!F48*G48</f>
        <v/>
      </c>
    </row>
    <row r="49">
      <c r="A49" s="3" t="inlineStr">
        <is>
          <t>44а</t>
        </is>
      </c>
      <c r="B49" s="3" t="inlineStr">
        <is>
          <t>Автобетононасос (в смете отсутствует)</t>
        </is>
      </c>
      <c r="C49" s="3" t="inlineStr">
        <is>
          <t>час</t>
        </is>
      </c>
      <c r="D49" s="8" t="n">
        <v>16</v>
      </c>
      <c r="E49" s="3" t="inlineStr">
        <is>
          <t>4 выезда × 4 ч</t>
        </is>
      </c>
      <c r="F49" s="10">
        <f>'Сверка цен'!G49</f>
        <v/>
      </c>
      <c r="G49" s="10" t="n">
        <v>1</v>
      </c>
      <c r="H49" s="10">
        <f>D49*F49*G49</f>
        <v/>
      </c>
      <c r="I49" s="10">
        <f>D49*'Сверка цен'!E49*G49</f>
        <v/>
      </c>
      <c r="J49" s="10">
        <f>D49*'Сверка цен'!F49*G49</f>
        <v/>
      </c>
    </row>
    <row r="50">
      <c r="A50" s="3" t="inlineStr">
        <is>
          <t>45</t>
        </is>
      </c>
      <c r="B50" s="3" t="inlineStr">
        <is>
          <t>Поликарбонат сотовый 8 мм 2,1×6 (6 мм ≈5900, 10 мм ≈8900)</t>
        </is>
      </c>
      <c r="C50" s="3" t="inlineStr">
        <is>
          <t>лист</t>
        </is>
      </c>
      <c r="D50" s="8" t="n">
        <v>20</v>
      </c>
      <c r="E50" s="3" t="inlineStr">
        <is>
          <t>навесы</t>
        </is>
      </c>
      <c r="F50" s="10">
        <f>'Сверка цен'!G50</f>
        <v/>
      </c>
      <c r="G50" s="10" t="n">
        <v>1</v>
      </c>
      <c r="H50" s="10">
        <f>D50*F50*G50</f>
        <v/>
      </c>
      <c r="I50" s="10">
        <f>D50*'Сверка цен'!E50*G50</f>
        <v/>
      </c>
      <c r="J50" s="10">
        <f>D50*'Сверка цен'!F50*G50</f>
        <v/>
      </c>
    </row>
    <row r="51">
      <c r="A51" s="3" t="inlineStr">
        <is>
          <t>46</t>
        </is>
      </c>
      <c r="B51" s="3" t="inlineStr">
        <is>
          <t>Брусчатка гранитная пиленая 200×100×60</t>
        </is>
      </c>
      <c r="C51" s="3" t="inlineStr">
        <is>
          <t>м²</t>
        </is>
      </c>
      <c r="D51" s="8" t="n">
        <v>2500</v>
      </c>
      <c r="E51" s="3" t="inlineStr">
        <is>
          <t>основные дорожки</t>
        </is>
      </c>
      <c r="F51" s="10">
        <f>'Сверка цен'!G51</f>
        <v/>
      </c>
      <c r="G51" s="10" t="n">
        <v>1</v>
      </c>
      <c r="H51" s="10">
        <f>D51*F51*G51</f>
        <v/>
      </c>
      <c r="I51" s="10">
        <f>D51*'Сверка цен'!E51*G51</f>
        <v/>
      </c>
      <c r="J51" s="10">
        <f>D51*'Сверка цен'!F51*G51</f>
        <v/>
      </c>
    </row>
    <row r="52">
      <c r="A52" s="3" t="inlineStr">
        <is>
          <t>47</t>
        </is>
      </c>
      <c r="B52" s="3" t="inlineStr">
        <is>
          <t>Труба ПНД гофра ø50 двустенная с зондом</t>
        </is>
      </c>
      <c r="C52" s="3" t="inlineStr">
        <is>
          <t>м</t>
        </is>
      </c>
      <c r="D52" s="8" t="n">
        <v>1500</v>
      </c>
      <c r="E52" s="3" t="inlineStr"/>
      <c r="F52" s="10">
        <f>'Сверка цен'!G52</f>
        <v/>
      </c>
      <c r="G52" s="10" t="n">
        <v>1</v>
      </c>
      <c r="H52" s="10">
        <f>D52*F52*G52</f>
        <v/>
      </c>
      <c r="I52" s="10">
        <f>D52*'Сверка цен'!E52*G52</f>
        <v/>
      </c>
      <c r="J52" s="10">
        <f>D52*'Сверка цен'!F52*G52</f>
        <v/>
      </c>
    </row>
    <row r="53">
      <c r="A53" s="3" t="inlineStr">
        <is>
          <t>48</t>
        </is>
      </c>
      <c r="B53" s="3" t="inlineStr">
        <is>
          <t>Кабель ВВГнг(А)-LS 5×2,5</t>
        </is>
      </c>
      <c r="C53" s="3" t="inlineStr">
        <is>
          <t>м</t>
        </is>
      </c>
      <c r="D53" s="8" t="n">
        <v>300</v>
      </c>
      <c r="E53" s="3" t="inlineStr"/>
      <c r="F53" s="10">
        <f>'Сверка цен'!G53</f>
        <v/>
      </c>
      <c r="G53" s="10" t="n">
        <v>1</v>
      </c>
      <c r="H53" s="10">
        <f>D53*F53*G53</f>
        <v/>
      </c>
      <c r="I53" s="10">
        <f>D53*'Сверка цен'!E53*G53</f>
        <v/>
      </c>
      <c r="J53" s="10">
        <f>D53*'Сверка цен'!F53*G53</f>
        <v/>
      </c>
    </row>
    <row r="54">
      <c r="A54" s="3" t="inlineStr">
        <is>
          <t>49</t>
        </is>
      </c>
      <c r="B54" s="3" t="inlineStr">
        <is>
          <t>Кабель ВВГнг(А)-LS 5×4</t>
        </is>
      </c>
      <c r="C54" s="3" t="inlineStr">
        <is>
          <t>м</t>
        </is>
      </c>
      <c r="D54" s="8" t="n">
        <v>500</v>
      </c>
      <c r="E54" s="3" t="inlineStr"/>
      <c r="F54" s="10">
        <f>'Сверка цен'!G54</f>
        <v/>
      </c>
      <c r="G54" s="10" t="n">
        <v>1</v>
      </c>
      <c r="H54" s="10">
        <f>D54*F54*G54</f>
        <v/>
      </c>
      <c r="I54" s="10">
        <f>D54*'Сверка цен'!E54*G54</f>
        <v/>
      </c>
      <c r="J54" s="10">
        <f>D54*'Сверка цен'!F54*G54</f>
        <v/>
      </c>
    </row>
    <row r="55">
      <c r="A55" s="3" t="inlineStr">
        <is>
          <t>50</t>
        </is>
      </c>
      <c r="B55" s="3" t="inlineStr">
        <is>
          <t>Кабель ВВГнг(А)-LS 5×16 (наружка: ВБШв ~1050–1760, АВБШв 256–298)</t>
        </is>
      </c>
      <c r="C55" s="3" t="inlineStr">
        <is>
          <t>м</t>
        </is>
      </c>
      <c r="D55" s="8" t="n">
        <v>1000</v>
      </c>
      <c r="E55" s="3" t="inlineStr">
        <is>
          <t>сеть освещения</t>
        </is>
      </c>
      <c r="F55" s="10">
        <f>'Сверка цен'!G55</f>
        <v/>
      </c>
      <c r="G55" s="10" t="n">
        <v>1</v>
      </c>
      <c r="H55" s="10">
        <f>D55*F55*G55</f>
        <v/>
      </c>
      <c r="I55" s="10">
        <f>D55*'Сверка цен'!E55*G55</f>
        <v/>
      </c>
      <c r="J55" s="10">
        <f>D55*'Сверка цен'!F55*G55</f>
        <v/>
      </c>
    </row>
    <row r="56">
      <c r="A56" s="2" t="inlineStr">
        <is>
          <t>ЛОГИСТИКА МОСКВА → ХАБАРОВСК</t>
        </is>
      </c>
      <c r="B56" s="9" t="n"/>
      <c r="C56" s="9" t="n"/>
      <c r="D56" s="9" t="n"/>
      <c r="E56" s="9" t="n"/>
      <c r="F56" s="9" t="n"/>
      <c r="G56" s="9" t="n"/>
      <c r="H56" s="9" t="n"/>
      <c r="I56" s="9" t="n"/>
      <c r="J56" s="9" t="n"/>
    </row>
    <row r="57">
      <c r="A57" s="3" t="inlineStr">
        <is>
          <t>51</t>
        </is>
      </c>
      <c r="B57" s="3" t="inlineStr">
        <is>
          <t>Фура 20 т (тент 82–96 м³), отдельная машина</t>
        </is>
      </c>
      <c r="C57" s="3" t="inlineStr">
        <is>
          <t>рейс</t>
        </is>
      </c>
      <c r="D57" s="8" t="n">
        <v>0</v>
      </c>
      <c r="E57" s="3" t="inlineStr">
        <is>
          <t>не нужна, если всё берётся в Хабаровске</t>
        </is>
      </c>
      <c r="F57" s="10">
        <f>'Сверка цен'!G57</f>
        <v/>
      </c>
      <c r="G57" s="10" t="n">
        <v>1</v>
      </c>
      <c r="H57" s="10">
        <f>D57*F57*G57</f>
        <v/>
      </c>
      <c r="I57" s="10">
        <f>D57*'Сверка цен'!E57*G57</f>
        <v/>
      </c>
      <c r="J57" s="10">
        <f>D57*'Сверка цен'!F57*G57</f>
        <v/>
      </c>
    </row>
    <row r="58">
      <c r="A58" s="3" t="inlineStr">
        <is>
          <t>52</t>
        </is>
      </c>
      <c r="B58" s="3" t="inlineStr">
        <is>
          <t>ЖД-контейнер 40 фут дверь-дверь (20 фут ≈ 225 тыс., до 18 т)</t>
        </is>
      </c>
      <c r="C58" s="3" t="inlineStr">
        <is>
          <t>конт.</t>
        </is>
      </c>
      <c r="D58" s="8" t="n">
        <v>13</v>
      </c>
      <c r="E58" s="3" t="inlineStr">
        <is>
          <t>брусчатка 2500 м² × 135 кг = 337 т</t>
        </is>
      </c>
      <c r="F58" s="10">
        <f>'Сверка цен'!G58</f>
        <v/>
      </c>
      <c r="G58" s="10" t="n">
        <v>1</v>
      </c>
      <c r="H58" s="10">
        <f>D58*F58*G58</f>
        <v/>
      </c>
      <c r="I58" s="10">
        <f>D58*'Сверка цен'!E58*G58</f>
        <v/>
      </c>
      <c r="J58" s="10">
        <f>D58*'Сверка цен'!F58*G58</f>
        <v/>
      </c>
    </row>
    <row r="59">
      <c r="A59" s="2" t="inlineStr">
        <is>
          <t>ПЕРСОНАЛ (₽/мес «на руки», город; работодателю ×1,50)</t>
        </is>
      </c>
      <c r="B59" s="9" t="n"/>
      <c r="C59" s="9" t="n"/>
      <c r="D59" s="9" t="n"/>
      <c r="E59" s="9" t="n"/>
      <c r="F59" s="9" t="n"/>
      <c r="G59" s="9" t="n"/>
      <c r="H59" s="9" t="n"/>
      <c r="I59" s="9" t="n"/>
      <c r="J59" s="9" t="n"/>
    </row>
    <row r="60">
      <c r="A60" s="3" t="inlineStr">
        <is>
          <t>53</t>
        </is>
      </c>
      <c r="B60" s="3" t="inlineStr">
        <is>
          <t>Разнорабочий (благоустройство)</t>
        </is>
      </c>
      <c r="C60" s="3" t="inlineStr">
        <is>
          <t>чел·мес</t>
        </is>
      </c>
      <c r="D60" s="8" t="n">
        <v>32</v>
      </c>
      <c r="E60" s="3" t="inlineStr">
        <is>
          <t>8 чел × 4 мес</t>
        </is>
      </c>
      <c r="F60" s="10">
        <f>'Сверка цен'!G60</f>
        <v/>
      </c>
      <c r="G60" s="10" t="n">
        <v>1.5</v>
      </c>
      <c r="H60" s="10">
        <f>D60*F60*G60</f>
        <v/>
      </c>
      <c r="I60" s="10">
        <f>D60*'Сверка цен'!E60*G60</f>
        <v/>
      </c>
      <c r="J60" s="10">
        <f>D60*'Сверка цен'!F60*G60</f>
        <v/>
      </c>
    </row>
    <row r="61">
      <c r="A61" s="3" t="inlineStr">
        <is>
          <t>54</t>
        </is>
      </c>
      <c r="B61" s="3" t="inlineStr">
        <is>
          <t>Водитель кат. C, E</t>
        </is>
      </c>
      <c r="C61" s="3" t="inlineStr">
        <is>
          <t>чел·мес</t>
        </is>
      </c>
      <c r="D61" s="8" t="n">
        <v>8</v>
      </c>
      <c r="E61" s="3" t="inlineStr">
        <is>
          <t>2 × 4 (техника в аренде — с водителем)</t>
        </is>
      </c>
      <c r="F61" s="10">
        <f>'Сверка цен'!G61</f>
        <v/>
      </c>
      <c r="G61" s="10" t="n">
        <v>1.5</v>
      </c>
      <c r="H61" s="10">
        <f>D61*F61*G61</f>
        <v/>
      </c>
      <c r="I61" s="10">
        <f>D61*'Сверка цен'!E61*G61</f>
        <v/>
      </c>
      <c r="J61" s="10">
        <f>D61*'Сверка цен'!F61*G61</f>
        <v/>
      </c>
    </row>
    <row r="62">
      <c r="A62" s="3" t="inlineStr">
        <is>
          <t>55</t>
        </is>
      </c>
      <c r="B62" s="3" t="inlineStr">
        <is>
          <t>Тракторист/машинист</t>
        </is>
      </c>
      <c r="C62" s="3" t="inlineStr">
        <is>
          <t>чел·мес</t>
        </is>
      </c>
      <c r="D62" s="8" t="n">
        <v>4</v>
      </c>
      <c r="E62" s="3" t="inlineStr">
        <is>
          <t>1 × 4</t>
        </is>
      </c>
      <c r="F62" s="10">
        <f>'Сверка цен'!G62</f>
        <v/>
      </c>
      <c r="G62" s="10" t="n">
        <v>1.5</v>
      </c>
      <c r="H62" s="10">
        <f>D62*F62*G62</f>
        <v/>
      </c>
      <c r="I62" s="10">
        <f>D62*'Сверка цен'!E62*G62</f>
        <v/>
      </c>
      <c r="J62" s="10">
        <f>D62*'Сверка цен'!F62*G62</f>
        <v/>
      </c>
    </row>
    <row r="63">
      <c r="A63" s="3" t="inlineStr">
        <is>
          <t>56</t>
        </is>
      </c>
      <c r="B63" s="3" t="inlineStr">
        <is>
          <t>Сварщик</t>
        </is>
      </c>
      <c r="C63" s="3" t="inlineStr">
        <is>
          <t>чел·мес</t>
        </is>
      </c>
      <c r="D63" s="8" t="n">
        <v>4</v>
      </c>
      <c r="E63" s="3" t="inlineStr">
        <is>
          <t>1 × 4</t>
        </is>
      </c>
      <c r="F63" s="10">
        <f>'Сверка цен'!G63</f>
        <v/>
      </c>
      <c r="G63" s="10" t="n">
        <v>1.5</v>
      </c>
      <c r="H63" s="10">
        <f>D63*F63*G63</f>
        <v/>
      </c>
      <c r="I63" s="10">
        <f>D63*'Сверка цен'!E63*G63</f>
        <v/>
      </c>
      <c r="J63" s="10">
        <f>D63*'Сверка цен'!F63*G63</f>
        <v/>
      </c>
    </row>
    <row r="64">
      <c r="A64" s="3" t="inlineStr">
        <is>
          <t>57</t>
        </is>
      </c>
      <c r="B64" s="3" t="inlineStr">
        <is>
          <t>Строитель/укладчик плитки и бордюра</t>
        </is>
      </c>
      <c r="C64" s="3" t="inlineStr">
        <is>
          <t>чел·мес</t>
        </is>
      </c>
      <c r="D64" s="8" t="n">
        <v>24</v>
      </c>
      <c r="E64" s="3" t="inlineStr">
        <is>
          <t>6 × 4</t>
        </is>
      </c>
      <c r="F64" s="10">
        <f>'Сверка цен'!G64</f>
        <v/>
      </c>
      <c r="G64" s="10" t="n">
        <v>1.5</v>
      </c>
      <c r="H64" s="10">
        <f>D64*F64*G64</f>
        <v/>
      </c>
      <c r="I64" s="10">
        <f>D64*'Сверка цен'!E64*G64</f>
        <v/>
      </c>
      <c r="J64" s="10">
        <f>D64*'Сверка цен'!F64*G64</f>
        <v/>
      </c>
    </row>
    <row r="65">
      <c r="A65" s="3" t="inlineStr">
        <is>
          <t>58</t>
        </is>
      </c>
      <c r="B65" s="3" t="inlineStr">
        <is>
          <t>Начальник участка/прораб</t>
        </is>
      </c>
      <c r="C65" s="3" t="inlineStr">
        <is>
          <t>чел·мес</t>
        </is>
      </c>
      <c r="D65" s="8" t="n">
        <v>4</v>
      </c>
      <c r="E65" s="3" t="inlineStr">
        <is>
          <t>1 × 4</t>
        </is>
      </c>
      <c r="F65" s="10">
        <f>'Сверка цен'!G65</f>
        <v/>
      </c>
      <c r="G65" s="10" t="n">
        <v>1.5</v>
      </c>
      <c r="H65" s="10">
        <f>D65*F65*G65</f>
        <v/>
      </c>
      <c r="I65" s="10">
        <f>D65*'Сверка цен'!E65*G65</f>
        <v/>
      </c>
      <c r="J65" s="10">
        <f>D65*'Сверка цен'!F65*G65</f>
        <v/>
      </c>
    </row>
    <row r="66">
      <c r="A66" s="3" t="inlineStr">
        <is>
          <t>59</t>
        </is>
      </c>
      <c r="B66" s="3" t="inlineStr">
        <is>
          <t>Кладовщик</t>
        </is>
      </c>
      <c r="C66" s="3" t="inlineStr">
        <is>
          <t>чел·мес</t>
        </is>
      </c>
      <c r="D66" s="8" t="n">
        <v>4</v>
      </c>
      <c r="E66" s="3" t="inlineStr">
        <is>
          <t>1 × 4</t>
        </is>
      </c>
      <c r="F66" s="10">
        <f>'Сверка цен'!G66</f>
        <v/>
      </c>
      <c r="G66" s="10" t="n">
        <v>1.5</v>
      </c>
      <c r="H66" s="10">
        <f>D66*F66*G66</f>
        <v/>
      </c>
      <c r="I66" s="10">
        <f>D66*'Сверка цен'!E66*G66</f>
        <v/>
      </c>
      <c r="J66" s="10">
        <f>D66*'Сверка цен'!F66*G66</f>
        <v/>
      </c>
    </row>
    <row r="67">
      <c r="A67" s="3" t="inlineStr">
        <is>
          <t>60</t>
        </is>
      </c>
      <c r="B67" s="3" t="inlineStr">
        <is>
          <t>Электрик (сети до 0,4 кВ)</t>
        </is>
      </c>
      <c r="C67" s="3" t="inlineStr">
        <is>
          <t>чел·мес</t>
        </is>
      </c>
      <c r="D67" s="8" t="n">
        <v>8</v>
      </c>
      <c r="E67" s="3" t="inlineStr">
        <is>
          <t>2 × 4</t>
        </is>
      </c>
      <c r="F67" s="10">
        <f>'Сверка цен'!G67</f>
        <v/>
      </c>
      <c r="G67" s="10" t="n">
        <v>1.5</v>
      </c>
      <c r="H67" s="10">
        <f>D67*F67*G67</f>
        <v/>
      </c>
      <c r="I67" s="10">
        <f>D67*'Сверка цен'!E67*G67</f>
        <v/>
      </c>
      <c r="J67" s="10">
        <f>D67*'Сверка цен'!F67*G67</f>
        <v/>
      </c>
    </row>
    <row r="68">
      <c r="A68" s="3" t="inlineStr">
        <is>
          <t>61</t>
        </is>
      </c>
      <c r="B68" s="3" t="inlineStr">
        <is>
          <t>Монтажник конструкций</t>
        </is>
      </c>
      <c r="C68" s="3" t="inlineStr">
        <is>
          <t>чел·мес</t>
        </is>
      </c>
      <c r="D68" s="8" t="n">
        <v>8</v>
      </c>
      <c r="E68" s="3" t="inlineStr">
        <is>
          <t>2 × 4</t>
        </is>
      </c>
      <c r="F68" s="10">
        <f>'Сверка цен'!G68</f>
        <v/>
      </c>
      <c r="G68" s="10" t="n">
        <v>1.5</v>
      </c>
      <c r="H68" s="10">
        <f>D68*F68*G68</f>
        <v/>
      </c>
      <c r="I68" s="10">
        <f>D68*'Сверка цен'!E68*G68</f>
        <v/>
      </c>
      <c r="J68" s="10">
        <f>D68*'Сверка цен'!F68*G68</f>
        <v/>
      </c>
    </row>
    <row r="69">
      <c r="A69" s="3" t="inlineStr">
        <is>
          <t>62</t>
        </is>
      </c>
      <c r="B69" s="3" t="inlineStr">
        <is>
          <t>Бетонщик</t>
        </is>
      </c>
      <c r="C69" s="3" t="inlineStr">
        <is>
          <t>чел·мес</t>
        </is>
      </c>
      <c r="D69" s="8" t="n">
        <v>8</v>
      </c>
      <c r="E69" s="3" t="inlineStr">
        <is>
          <t>2 × 4</t>
        </is>
      </c>
      <c r="F69" s="10">
        <f>'Сверка цен'!G69</f>
        <v/>
      </c>
      <c r="G69" s="10" t="n">
        <v>1.5</v>
      </c>
      <c r="H69" s="10">
        <f>D69*F69*G69</f>
        <v/>
      </c>
      <c r="I69" s="10">
        <f>D69*'Сверка цен'!E69*G69</f>
        <v/>
      </c>
      <c r="J69" s="10">
        <f>D69*'Сверка цен'!F69*G69</f>
        <v/>
      </c>
    </row>
    <row r="70">
      <c r="A70" s="3" t="inlineStr">
        <is>
          <t>63</t>
        </is>
      </c>
      <c r="B70" s="3" t="inlineStr">
        <is>
          <t>Штукатур-маляр (фасады)</t>
        </is>
      </c>
      <c r="C70" s="3" t="inlineStr">
        <is>
          <t>чел·мес</t>
        </is>
      </c>
      <c r="D70" s="8" t="n">
        <v>0</v>
      </c>
      <c r="E70" s="3" t="inlineStr">
        <is>
          <t>на бульваре фасадов нет</t>
        </is>
      </c>
      <c r="F70" s="10">
        <f>'Сверка цен'!G70</f>
        <v/>
      </c>
      <c r="G70" s="10" t="n">
        <v>1.5</v>
      </c>
      <c r="H70" s="10">
        <f>D70*F70*G70</f>
        <v/>
      </c>
      <c r="I70" s="10">
        <f>D70*'Сверка цен'!E70*G70</f>
        <v/>
      </c>
      <c r="J70" s="10">
        <f>D70*'Сверка цен'!F70*G70</f>
        <v/>
      </c>
    </row>
    <row r="71">
      <c r="A71" s="2" t="inlineStr">
        <is>
          <t>АРЕНДА ЖИЛЬЯ И ОФИСОВ</t>
        </is>
      </c>
      <c r="B71" s="9" t="n"/>
      <c r="C71" s="9" t="n"/>
      <c r="D71" s="9" t="n"/>
      <c r="E71" s="9" t="n"/>
      <c r="F71" s="9" t="n"/>
      <c r="G71" s="9" t="n"/>
      <c r="H71" s="9" t="n"/>
      <c r="I71" s="9" t="n"/>
      <c r="J71" s="9" t="n"/>
    </row>
    <row r="72">
      <c r="A72" s="3" t="inlineStr">
        <is>
          <t>64</t>
        </is>
      </c>
      <c r="B72" s="3" t="inlineStr">
        <is>
          <t>Квартира 1-комн., центр</t>
        </is>
      </c>
      <c r="C72" s="3" t="inlineStr">
        <is>
          <t>мес</t>
        </is>
      </c>
      <c r="D72" s="8" t="n">
        <v>4</v>
      </c>
      <c r="E72" s="3" t="inlineStr">
        <is>
          <t>нач. участка</t>
        </is>
      </c>
      <c r="F72" s="10">
        <f>'Сверка цен'!G72</f>
        <v/>
      </c>
      <c r="G72" s="10" t="n">
        <v>1</v>
      </c>
      <c r="H72" s="10">
        <f>D72*F72*G72</f>
        <v/>
      </c>
      <c r="I72" s="10">
        <f>D72*'Сверка цен'!E72*G72</f>
        <v/>
      </c>
      <c r="J72" s="10">
        <f>D72*'Сверка цен'!F72*G72</f>
        <v/>
      </c>
    </row>
    <row r="73">
      <c r="A73" s="3" t="inlineStr">
        <is>
          <t>65</t>
        </is>
      </c>
      <c r="B73" s="3" t="inlineStr">
        <is>
          <t>Офис ~20 м², центр (≈1350 ₽/м²)</t>
        </is>
      </c>
      <c r="C73" s="3" t="inlineStr">
        <is>
          <t>мес</t>
        </is>
      </c>
      <c r="D73" s="8" t="n">
        <v>4</v>
      </c>
      <c r="E73" s="3" t="inlineStr"/>
      <c r="F73" s="10">
        <f>'Сверка цен'!G73</f>
        <v/>
      </c>
      <c r="G73" s="10" t="n">
        <v>1</v>
      </c>
      <c r="H73" s="10">
        <f>D73*F73*G73</f>
        <v/>
      </c>
      <c r="I73" s="10">
        <f>D73*'Сверка цен'!E73*G73</f>
        <v/>
      </c>
      <c r="J73" s="10">
        <f>D73*'Сверка цен'!F73*G73</f>
        <v/>
      </c>
    </row>
    <row r="74">
      <c r="A74" s="3" t="inlineStr">
        <is>
          <t>66</t>
        </is>
      </c>
      <c r="B74" s="3" t="inlineStr">
        <is>
          <t>Хостел, койко-место</t>
        </is>
      </c>
      <c r="C74" s="3" t="inlineStr">
        <is>
          <t>сутки</t>
        </is>
      </c>
      <c r="D74" s="8" t="n">
        <v>0</v>
      </c>
      <c r="E74" s="3" t="inlineStr">
        <is>
          <t>заменено общежитием</t>
        </is>
      </c>
      <c r="F74" s="10">
        <f>'Сверка цен'!G74</f>
        <v/>
      </c>
      <c r="G74" s="10" t="n">
        <v>1</v>
      </c>
      <c r="H74" s="10">
        <f>D74*F74*G74</f>
        <v/>
      </c>
      <c r="I74" s="10">
        <f>D74*'Сверка цен'!E74*G74</f>
        <v/>
      </c>
      <c r="J74" s="10">
        <f>D74*'Сверка цен'!F74*G74</f>
        <v/>
      </c>
    </row>
    <row r="75">
      <c r="A75" s="3" t="inlineStr">
        <is>
          <t>66а</t>
        </is>
      </c>
      <c r="B75" s="3" t="inlineStr">
        <is>
          <t>Рабочее общежитие (в смете нет)</t>
        </is>
      </c>
      <c r="C75" s="3" t="inlineStr">
        <is>
          <t>чел·мес</t>
        </is>
      </c>
      <c r="D75" s="8" t="n">
        <v>80</v>
      </c>
      <c r="E75" s="3" t="inlineStr">
        <is>
          <t>20 чел × 4 мес (приезжие)</t>
        </is>
      </c>
      <c r="F75" s="10">
        <f>'Сверка цен'!G75</f>
        <v/>
      </c>
      <c r="G75" s="10" t="n">
        <v>1</v>
      </c>
      <c r="H75" s="10">
        <f>D75*F75*G75</f>
        <v/>
      </c>
      <c r="I75" s="10">
        <f>D75*'Сверка цен'!E75*G75</f>
        <v/>
      </c>
      <c r="J75" s="10">
        <f>D75*'Сверка цен'!F75*G75</f>
        <v/>
      </c>
    </row>
    <row r="76">
      <c r="A76" s="3" t="inlineStr">
        <is>
          <t>67</t>
        </is>
      </c>
      <c r="B76" s="3" t="inlineStr">
        <is>
          <t>Гостиница 3*, стандарт</t>
        </is>
      </c>
      <c r="C76" s="3" t="inlineStr">
        <is>
          <t>сутки</t>
        </is>
      </c>
      <c r="D76" s="8" t="n">
        <v>30</v>
      </c>
      <c r="E76" s="3" t="inlineStr">
        <is>
          <t>командировки ИТР</t>
        </is>
      </c>
      <c r="F76" s="10">
        <f>'Сверка цен'!G76</f>
        <v/>
      </c>
      <c r="G76" s="10" t="n">
        <v>1</v>
      </c>
      <c r="H76" s="10">
        <f>D76*F76*G76</f>
        <v/>
      </c>
      <c r="I76" s="10">
        <f>D76*'Сверка цен'!E76*G76</f>
        <v/>
      </c>
      <c r="J76" s="10">
        <f>D76*'Сверка цен'!F76*G76</f>
        <v/>
      </c>
    </row>
    <row r="78">
      <c r="B78" s="11" t="inlineStr">
        <is>
          <t>Итого: ТРАНСПОРТ И СПЕЦТЕХНИКА</t>
        </is>
      </c>
      <c r="H78" s="12">
        <f>SUM(H3:H19)</f>
        <v/>
      </c>
      <c r="I78" s="12">
        <f>SUM(I3:I19)</f>
        <v/>
      </c>
      <c r="J78" s="12">
        <f>SUM(J3:J19)</f>
        <v/>
      </c>
    </row>
    <row r="79">
      <c r="B79" s="11" t="inlineStr">
        <is>
          <t>Итого: РАСХОДНЫЕ МАТЕРИАЛЫ</t>
        </is>
      </c>
      <c r="H79" s="12">
        <f>SUM(H21:H26)</f>
        <v/>
      </c>
      <c r="I79" s="12">
        <f>SUM(I21:I26)</f>
        <v/>
      </c>
      <c r="J79" s="12">
        <f>SUM(J21:J26)</f>
        <v/>
      </c>
    </row>
    <row r="80">
      <c r="B80" s="11" t="inlineStr">
        <is>
          <t>Итого: СТРОИТЕЛЬНЫЕ МАТЕРИАЛЫ</t>
        </is>
      </c>
      <c r="H80" s="12">
        <f>SUM(H28:H55)</f>
        <v/>
      </c>
      <c r="I80" s="12">
        <f>SUM(I28:I55)</f>
        <v/>
      </c>
      <c r="J80" s="12">
        <f>SUM(J28:J55)</f>
        <v/>
      </c>
    </row>
    <row r="81">
      <c r="B81" s="11" t="inlineStr">
        <is>
          <t>Итого: ЛОГИСТИКА МОСКВА → ХАБАРОВСК</t>
        </is>
      </c>
      <c r="H81" s="12">
        <f>SUM(H57:H58)</f>
        <v/>
      </c>
      <c r="I81" s="12">
        <f>SUM(I57:I58)</f>
        <v/>
      </c>
      <c r="J81" s="12">
        <f>SUM(J57:J58)</f>
        <v/>
      </c>
    </row>
    <row r="82">
      <c r="B82" s="11" t="inlineStr">
        <is>
          <t>Итого: ПЕРСОНАЛ</t>
        </is>
      </c>
      <c r="H82" s="12">
        <f>SUM(H60:H70)</f>
        <v/>
      </c>
      <c r="I82" s="12">
        <f>SUM(I60:I70)</f>
        <v/>
      </c>
      <c r="J82" s="12">
        <f>SUM(J60:J70)</f>
        <v/>
      </c>
    </row>
    <row r="83">
      <c r="B83" s="11" t="inlineStr">
        <is>
          <t>Итого: АРЕНДА ЖИЛЬЯ И ОФИСОВ</t>
        </is>
      </c>
      <c r="H83" s="12">
        <f>SUM(H72:H76)</f>
        <v/>
      </c>
      <c r="I83" s="12">
        <f>SUM(I72:I76)</f>
        <v/>
      </c>
      <c r="J83" s="12">
        <f>SUM(J72:J76)</f>
        <v/>
      </c>
    </row>
    <row r="84">
      <c r="B84" s="13" t="inlineStr">
        <is>
          <t>ИТОГО прямые затраты</t>
        </is>
      </c>
      <c r="H84" s="14">
        <f>H78+H79+H80+H81+H82+H83</f>
        <v/>
      </c>
      <c r="I84" s="14">
        <f>I78+I79+I80+I81+I82+I83</f>
        <v/>
      </c>
      <c r="J84" s="14">
        <f>J78+J79+J80+J81+J82+J83</f>
        <v/>
      </c>
    </row>
    <row r="85">
      <c r="B85" t="inlineStr">
        <is>
          <t>Непредвиденные 10%</t>
        </is>
      </c>
      <c r="H85" s="15">
        <f>H84*0.1</f>
        <v/>
      </c>
      <c r="I85" s="15">
        <f>I84*0.1</f>
        <v/>
      </c>
      <c r="J85" s="15">
        <f>J84*0.1</f>
        <v/>
      </c>
    </row>
    <row r="86">
      <c r="B86" s="13" t="inlineStr">
        <is>
          <t>ВСЕГО с непредвиденными</t>
        </is>
      </c>
      <c r="H86" s="16">
        <f>H84*1.1</f>
        <v/>
      </c>
      <c r="I86" s="16">
        <f>I84*1.1</f>
        <v/>
      </c>
      <c r="J86" s="16">
        <f>J84*1.1</f>
        <v/>
      </c>
    </row>
    <row r="88" ht="32" customHeight="1">
      <c r="B88" s="17" t="inlineStr">
        <is>
          <t>Сценарий: бульвар 500 × 20 м = 10 000 м², срок 4 месяца (~88 смен). Покрытия: гранитная брусчатка 2 500 м², асфальт 1 000 м² (5 см), резиновое покрытие 600 м² (10 мм), газон 5 000 м², освещение 1 000 м кабеля 5×16.</t>
        </is>
      </c>
    </row>
    <row r="89" ht="32" customHeight="1">
      <c r="B89" s="17" t="inlineStr">
        <is>
          <t>Все объёмы — ДОПУЩЕНИЕ (в исходной смете количеств нет). Жёлтые ячейки — меняйте на объёмы из проекта/ВОР, суммы пересчитаются.</t>
        </is>
      </c>
    </row>
    <row r="90" ht="32" customHeight="1">
      <c r="B90" s="17" t="inlineStr">
        <is>
          <t>Персонал умножен на 1,5 (НДФЛ 13% + страховые взносы 30% + травматизм ~0,9%). Районный коэфф. 1,2 и ДВ-надбавка обычно уже в цифре вакансии.</t>
        </is>
      </c>
    </row>
    <row r="91" ht="32" customHeight="1">
      <c r="B91" s="17" t="inlineStr">
        <is>
          <t>Не учтены: проект, МАФ/скамейки/урны, светильники и опоры, саженцы, исполнительная документация, налоги подрядчика, сметная прибыль, НДС сверху там, где цена без НДС.</t>
        </is>
      </c>
    </row>
  </sheetData>
  <mergeCells count="4">
    <mergeCell ref="B89:J89"/>
    <mergeCell ref="B91:J91"/>
    <mergeCell ref="B88:J88"/>
    <mergeCell ref="B90:J90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B24"/>
  <sheetViews>
    <sheetView workbookViewId="0">
      <selection activeCell="A1" sqref="A1"/>
    </sheetView>
  </sheetViews>
  <sheetFormatPr baseColWidth="8" defaultRowHeight="15"/>
  <cols>
    <col width="4" customWidth="1" min="1" max="1"/>
    <col width="130" customWidth="1" min="2" max="2"/>
  </cols>
  <sheetData>
    <row r="1">
      <c r="B1" s="18" t="inlineStr">
        <is>
          <t>ДОПУЩЕНИЯ</t>
        </is>
      </c>
    </row>
    <row r="2">
      <c r="B2" s="17" t="inlineStr">
        <is>
          <t>В исходной смете нет количеств — итог посчитан по сценарию бульвара (лист «Сценарий»), объёмы условные.</t>
        </is>
      </c>
    </row>
    <row r="3">
      <c r="B3" s="17" t="inlineStr">
        <is>
          <t>Каток 30 т в Хабаровске в аренду не найден — взяты грунтовые 16–20 т (поз. 15).</t>
        </is>
      </c>
    </row>
    <row r="4">
      <c r="B4" s="17" t="inlineStr">
        <is>
          <t>Bobcat S630 — по аналогам S300/643/Барнаулец (поз. 4). Тягач 15 т — по тралам 30–65 т (поз. 8).</t>
        </is>
      </c>
    </row>
    <row r="5">
      <c r="B5" s="17" t="inlineStr">
        <is>
          <t>Месячная аренда техники — расчёт 22 смены × ставка со скидкой 5–10%; прямых месячных предложений почти нет.</t>
        </is>
      </c>
    </row>
    <row r="6">
      <c r="B6" s="17" t="inlineStr">
        <is>
          <t>Щебень фр. 80-120 у Корфовского карьера отсутствует — интерполяция между 40-70 и 100-200 (поз. 25).</t>
        </is>
      </c>
    </row>
    <row r="7">
      <c r="B7" s="17" t="inlineStr">
        <is>
          <t>Асфальт — единственный публичный прайс АБЗ от 30.04.2025, индексирован на 2026 (+4–8%) (поз. 29).</t>
        </is>
      </c>
    </row>
    <row r="8">
      <c r="B8" s="17" t="inlineStr">
        <is>
          <t>Бутовый камень — хабаровских цен нет, оценка по РФ + самосвал (поз. 35).</t>
        </is>
      </c>
    </row>
    <row r="9">
      <c r="B9" s="17" t="inlineStr">
        <is>
          <t>Резиновая крошка, EPDM, связующее, пигменты — склады в центральной России, добавлена доставка ПЭК ~60 ₽/кг (поз. 37–40).</t>
        </is>
      </c>
    </row>
    <row r="10">
      <c r="B10" s="17" t="inlineStr">
        <is>
          <t>Гранитная пиленая брусчатка 60 мм — в наличии в Хабаровске нет; цена РФ + ЖД-доставка отдельной строкой (поз. 46, 52). Альтернатива — местная колотая 2300–3400 ₽/м² или бетонная брусчатка.</t>
        </is>
      </c>
    </row>
    <row r="11">
      <c r="B11" s="17" t="inlineStr">
        <is>
          <t>Цепное масло — федеральная розница (поз. 23). Пескобетон — аналог Старатели/RB, «Мастер Гарц» в Хабаровске нет (поз. 42).</t>
        </is>
      </c>
    </row>
    <row r="12">
      <c r="B12" s="18" t="inlineStr">
        <is>
          <t>РИСКИ</t>
        </is>
      </c>
    </row>
    <row r="13">
      <c r="B13" s="17" t="inlineStr">
        <is>
          <t>Farpost и Avito (главные ДВ-площадки) закрыты капчей — объявления оттуда учтены только по фрагментам выдачи. Перед подписанием — ручной обзвон 2–3 поставщиков по топ-10 позициям по сумме.</t>
        </is>
      </c>
    </row>
    <row r="14">
      <c r="B14" s="17" t="inlineStr">
        <is>
          <t>Большинство цен «от» и без даты объявления; реальная цена обычно на 10–20% выше нижней границы.</t>
        </is>
      </c>
    </row>
    <row r="15">
      <c r="B15" s="17" t="inlineStr">
        <is>
          <t>НДС 22% с 01.01.2026: частники и ИП на УСН — без НДС, прокаты/заводы — с НДС. Для бюджетного заказчика сравнивать сопоставимо (всё с НДС).</t>
        </is>
      </c>
    </row>
    <row r="16">
      <c r="B16" s="17" t="inlineStr">
        <is>
          <t>Медь: кабель 5×16 подорожал (1400–1500 ₽/м). Для наружных сетей рассмотреть бронированный ВБШв (≈ та же цена) или алюминиевый АВБШв 5×25.</t>
        </is>
      </c>
    </row>
    <row r="17">
      <c r="B17" s="17" t="inlineStr">
        <is>
          <t>Сезонность: работы благоустройства в Хабаровске — май–октябрь; зимой асфальт и наливное покрытие не делают, бетон — с прогревом (+удорожание).</t>
        </is>
      </c>
    </row>
    <row r="18">
      <c r="B18" s="17" t="inlineStr">
        <is>
          <t>Логистика: ЖД-контейнер 25–30 суток, фура 10–14 суток; 20-фут. контейнер — до 18 т по стандартному тарифу.</t>
        </is>
      </c>
    </row>
    <row r="19">
      <c r="B19" s="17" t="inlineStr">
        <is>
          <t>Зарплаты в смете на верхней границе = вахтовые ставки. Если нанимать вахтовиков — добавить проезд, проживание и надбавку.</t>
        </is>
      </c>
    </row>
    <row r="20">
      <c r="B20" s="17" t="inlineStr">
        <is>
          <t>Для госзаказа обоснование НМЦК — по ФГИС ЦС (сметные цены Хабаровского края, 3 кв. 2026) + 3 КП; веб-данные — только контрольный ориентир.</t>
        </is>
      </c>
    </row>
    <row r="21">
      <c r="B21" s="17" t="inlineStr">
        <is>
          <t>Полигон: с 2027 тариф 761,21 ₽/т; плата за приём строительных отходов по договору — подтвердить у АО «Спецавтохозяйство» (+7 4212 64-97-75).</t>
        </is>
      </c>
    </row>
    <row r="22">
      <c r="B22" s="18" t="inlineStr">
        <is>
          <t>КОНТАКТЫ ДЛЯ ПОДТВЕРЖДЕНИЯ</t>
        </is>
      </c>
    </row>
    <row r="23">
      <c r="B23" s="17" t="inlineStr">
        <is>
          <t>Аренда-ДВ (компрессор, молотки) 8 (4212) 68-21-41 · Борг-Про (каток, трал) (4212) 68-07-08 · Корфовский карьер (щебень, бут) (4212) 49-22-32 · Спецавтохозяйство (полигон) +7 4212 64-97-75</t>
        </is>
      </c>
    </row>
    <row r="24">
      <c r="B24" s="17" t="inlineStr">
        <is>
          <t>Все цены собраны 20.10.2026 из открытых источников; ссылки — на листе «Сверка цен».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2026-10-20T15:29:53Z</dcterms:created>
  <dcterms:modified xmlns:dcterms="http://purl.org/dc/terms/" xmlns:xsi="http://www.w3.org/2001/XMLSchema-instance" xsi:type="dcterms:W3CDTF">2026-10-20T15:29:53Z</dcterms:modified>
</cp:coreProperties>
</file>